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<sst xmlns="http://schemas.openxmlformats.org/spreadsheetml/2006/main" count="91" uniqueCount="83">
  <si>
    <t xml:space="preserve">BUDGET - BWT - FOTOVOLTAICO</t>
  </si>
  <si>
    <t xml:space="preserve">ABRIL </t>
  </si>
  <si>
    <t xml:space="preserve">MAIO </t>
  </si>
  <si>
    <t xml:space="preserve">JUNHO </t>
  </si>
  <si>
    <t xml:space="preserve">JULHO </t>
  </si>
  <si>
    <t xml:space="preserve">AGOSTO</t>
  </si>
  <si>
    <t xml:space="preserve">SET</t>
  </si>
  <si>
    <t xml:space="preserve">OUT</t>
  </si>
  <si>
    <t xml:space="preserve">NOV</t>
  </si>
  <si>
    <t xml:space="preserve">DEZ</t>
  </si>
  <si>
    <t xml:space="preserve">JAN</t>
  </si>
  <si>
    <t xml:space="preserve">FEV</t>
  </si>
  <si>
    <t xml:space="preserve">MAR</t>
  </si>
  <si>
    <t xml:space="preserve">ABRIL</t>
  </si>
  <si>
    <t xml:space="preserve">MAIO</t>
  </si>
  <si>
    <t xml:space="preserve">JUNHO</t>
  </si>
  <si>
    <t xml:space="preserve">TOTAL VENDAS</t>
  </si>
  <si>
    <t xml:space="preserve">SOLFACIL DISTRIBUIDORA</t>
  </si>
  <si>
    <t xml:space="preserve">EMPILHADEIRA</t>
  </si>
  <si>
    <t xml:space="preserve">Impostos</t>
  </si>
  <si>
    <t xml:space="preserve">PIS 0,65%</t>
  </si>
  <si>
    <t xml:space="preserve">Cofins 3%</t>
  </si>
  <si>
    <t xml:space="preserve">ICMS 10% </t>
  </si>
  <si>
    <t xml:space="preserve">Total de Imposto</t>
  </si>
  <si>
    <t xml:space="preserve">BASE CALCULO IRPJ</t>
  </si>
  <si>
    <t xml:space="preserve">IRPJ </t>
  </si>
  <si>
    <t xml:space="preserve">BASE CALCULO CSLL</t>
  </si>
  <si>
    <t xml:space="preserve">CSLL</t>
  </si>
  <si>
    <t xml:space="preserve">TOTAL TRIBUTOS</t>
  </si>
  <si>
    <t xml:space="preserve">Apuração do Resultado</t>
  </si>
  <si>
    <t xml:space="preserve">RECEITA LIQUIDA</t>
  </si>
  <si>
    <t xml:space="preserve">CUSTO TOTAL </t>
  </si>
  <si>
    <t xml:space="preserve">Resultado Operação</t>
  </si>
  <si>
    <t xml:space="preserve">Resultado % </t>
  </si>
  <si>
    <t xml:space="preserve">CUSTOS </t>
  </si>
  <si>
    <t xml:space="preserve">Referência</t>
  </si>
  <si>
    <t xml:space="preserve">SETEMBRO</t>
  </si>
  <si>
    <t xml:space="preserve">OUTUBRO</t>
  </si>
  <si>
    <t xml:space="preserve">NOVEMBRO</t>
  </si>
  <si>
    <t xml:space="preserve">DEZEMBRO </t>
  </si>
  <si>
    <t xml:space="preserve">JANEIRO </t>
  </si>
  <si>
    <t xml:space="preserve">FEVEREIIRO</t>
  </si>
  <si>
    <t xml:space="preserve">MARÇO</t>
  </si>
  <si>
    <t xml:space="preserve">CUSTO FIXO</t>
  </si>
  <si>
    <t xml:space="preserve">TELEFONE</t>
  </si>
  <si>
    <t xml:space="preserve">COWORK SJC</t>
  </si>
  <si>
    <t xml:space="preserve">CARTAO DE CREDITO </t>
  </si>
  <si>
    <t xml:space="preserve">CONTABILIDADE</t>
  </si>
  <si>
    <t xml:space="preserve">SSW</t>
  </si>
  <si>
    <t xml:space="preserve">PRO LABORE</t>
  </si>
  <si>
    <t xml:space="preserve">VERISURE</t>
  </si>
  <si>
    <t xml:space="preserve">INSS SOBRE O PROLABORE</t>
  </si>
  <si>
    <t xml:space="preserve">VALE REFEIÇÃO (MEI)</t>
  </si>
  <si>
    <t xml:space="preserve">MARIA CLARA (MEI)</t>
  </si>
  <si>
    <t xml:space="preserve">DIVERSOS (SITE) </t>
  </si>
  <si>
    <t xml:space="preserve">DIVERSOS RECISAO ESTER</t>
  </si>
  <si>
    <t xml:space="preserve"> </t>
  </si>
  <si>
    <t xml:space="preserve">CUSTO VARIAVEL</t>
  </si>
  <si>
    <t xml:space="preserve">REFERENCIA</t>
  </si>
  <si>
    <t xml:space="preserve">SEGURO DE CARGA - TOKIO MARINE - SOMPO</t>
  </si>
  <si>
    <t xml:space="preserve">RCTRC/ RCF</t>
  </si>
  <si>
    <t xml:space="preserve">FECHAMENTO E4LOG </t>
  </si>
  <si>
    <t xml:space="preserve">COM COLETA</t>
  </si>
  <si>
    <t xml:space="preserve">AVARIA CARGA NA COLETA</t>
  </si>
  <si>
    <t xml:space="preserve">CUSTO DE COLETA</t>
  </si>
  <si>
    <t xml:space="preserve">MARKETING E BONIFICAÇAO</t>
  </si>
  <si>
    <t xml:space="preserve">COMISSAO MAURÍCIO</t>
  </si>
  <si>
    <t xml:space="preserve">DESPESA DE VIAGEM </t>
  </si>
  <si>
    <t xml:space="preserve">GERENCIAMENTO RISCO</t>
  </si>
  <si>
    <t xml:space="preserve">IMPOSTOS E TAXAS</t>
  </si>
  <si>
    <t xml:space="preserve">DESPESA BANCARIA</t>
  </si>
  <si>
    <t xml:space="preserve">JUROS (ANTECIPAÇÃO)</t>
  </si>
  <si>
    <t xml:space="preserve">GOOGLE</t>
  </si>
  <si>
    <t xml:space="preserve">PATROCINIO E4LOG – CENTENARIO </t>
  </si>
  <si>
    <t xml:space="preserve">PEDAGIO BRUNO </t>
  </si>
  <si>
    <t xml:space="preserve">DIVERSOS (abertura cnpj – man. note</t>
  </si>
  <si>
    <t xml:space="preserve">CONTA BANCÁRIA MAIO 14-05</t>
  </si>
  <si>
    <t xml:space="preserve">Á RECEBER</t>
  </si>
  <si>
    <t xml:space="preserve">Á PAGAR</t>
  </si>
  <si>
    <t xml:space="preserve">SALDO </t>
  </si>
  <si>
    <t xml:space="preserve">CAIXA E A RECEBER</t>
  </si>
  <si>
    <t xml:space="preserve">Á PAGAR (DODO, IMPOSTO, IMP REAG)</t>
  </si>
  <si>
    <t xml:space="preserve">SALDO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</si>
</sst>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"/>
    <numFmt numFmtId="166" formatCode="0%"/>
    <numFmt numFmtId="167" formatCode="[$R$-416]\ #,##0.00;[RED]\-[$R$-416]\ #,##0.00"/>
    <numFmt numFmtId="168" formatCode="_-&quot;R$&quot;* #,##0.00_-;&quot;-R$&quot;* #,##0.00_-;_-&quot;R$&quot;* \-??_-;_-@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1"/>
      <color theme="0"/>
      <name val="Aptos Narrow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BE9F7"/>
        <bgColor rgb="FFCAEEFB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C1F0C8"/>
      </patternFill>
    </fill>
    <fill>
      <patternFill patternType="solid">
        <fgColor rgb="FFFAE2D5"/>
        <bgColor rgb="FFFBE3D6"/>
      </patternFill>
    </fill>
    <fill>
      <patternFill patternType="solid">
        <fgColor theme="5" tint="0.7998"/>
        <bgColor rgb="FFFAE2D5"/>
      </patternFill>
    </fill>
    <fill>
      <patternFill patternType="solid">
        <fgColor rgb="FFD8D8D8"/>
        <bgColor rgb="FFDBE9F7"/>
      </patternFill>
    </fill>
    <fill>
      <patternFill patternType="solid">
        <fgColor theme="7" tint="0.7998"/>
        <bgColor rgb="FFDBE9F7"/>
      </patternFill>
    </fill>
    <fill>
      <patternFill patternType="solid">
        <fgColor rgb="FF00B0F0"/>
        <bgColor rgb="FF33CCCC"/>
      </patternFill>
    </fill>
    <fill>
      <patternFill patternType="solid">
        <fgColor rgb="FFC1F0C8"/>
        <bgColor rgb="FFD9F2D0"/>
      </patternFill>
    </fill>
    <fill>
      <patternFill patternType="solid">
        <fgColor rgb="FF002060"/>
        <bgColor rgb="FF000080"/>
      </patternFill>
    </fill>
    <fill>
      <patternFill patternType="solid">
        <fgColor rgb="FFF2F2F2"/>
        <bgColor rgb="FFFFFFFF"/>
      </patternFill>
    </fill>
    <fill>
      <patternFill patternType="solid">
        <fgColor rgb="FFFF4000"/>
        <bgColor rgb="FFFF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1F0C8"/>
      <rgbColor rgb="FF808080"/>
      <rgbColor rgb="FF9999FF"/>
      <rgbColor rgb="FF993366"/>
      <rgbColor rgb="FFF2F2F2"/>
      <rgbColor rgb="FFCAEEFB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BE9F7"/>
      <rgbColor rgb="FFD9F2D0"/>
      <rgbColor rgb="FFFBE3D6"/>
      <rgbColor rgb="FF99CCFF"/>
      <rgbColor rgb="FFFF99CC"/>
      <rgbColor rgb="FFCC99FF"/>
      <rgbColor rgb="FFFAE2D5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48576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0" ySplit="1" topLeftCell="A26" activePane="bottomLeft" state="frozen"/>
      <selection pane="topLeft" activeCell="A1" activeCellId="0" sqref="A1"/>
      <selection pane="bottomLeft" activeCell="S22" activeCellId="0" sqref="S22"/>
    </sheetView>
  </sheetViews>
  <sheetFormatPr defaultColWidth="12.57421875" defaultRowHeight="15" zeroHeight="false" outlineLevelRow="0" outlineLevelCol="0"/>
  <cols>
    <col collapsed="false" customWidth="true" hidden="false" outlineLevel="0" max="1" min="1" style="0" width="4.72"/>
    <col collapsed="false" customWidth="true" hidden="false" outlineLevel="0" max="2" min="2" style="0" width="38.29"/>
    <col collapsed="false" customWidth="true" hidden="false" outlineLevel="0" max="3" min="3" style="0" width="34.86"/>
    <col collapsed="false" customWidth="true" hidden="false" outlineLevel="0" max="4" min="4" style="0" width="6"/>
    <col collapsed="false" customWidth="true" hidden="false" outlineLevel="0" max="5" min="5" style="0" width="26.52"/>
    <col collapsed="false" customWidth="true" hidden="true" outlineLevel="0" max="8" min="6" style="0" width="14.71"/>
    <col collapsed="false" customWidth="true" hidden="false" outlineLevel="0" max="9" min="9" style="0" width="12.79"/>
    <col collapsed="false" customWidth="true" hidden="false" outlineLevel="0" max="10" min="10" style="0" width="14.86"/>
    <col collapsed="false" customWidth="true" hidden="true" outlineLevel="0" max="11" min="11" style="0" width="17.14"/>
    <col collapsed="false" customWidth="true" hidden="true" outlineLevel="0" max="12" min="12" style="0" width="17.29"/>
    <col collapsed="false" customWidth="true" hidden="true" outlineLevel="0" max="13" min="13" style="0" width="14.43"/>
    <col collapsed="false" customWidth="true" hidden="true" outlineLevel="0" max="15" min="14" style="0" width="14.71"/>
    <col collapsed="false" customWidth="true" hidden="false" outlineLevel="0" max="16" min="16" style="0" width="17.14"/>
    <col collapsed="false" customWidth="true" hidden="false" outlineLevel="0" max="17" min="17" style="0" width="15"/>
    <col collapsed="false" customWidth="true" hidden="false" outlineLevel="0" max="18" min="18" style="0" width="17.29"/>
    <col collapsed="false" customWidth="true" hidden="false" outlineLevel="0" max="19" min="19" style="0" width="14.71"/>
  </cols>
  <sheetData>
    <row r="1" customFormat="false" ht="15" hidden="false" customHeight="false" outlineLevel="0" collapsed="false"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0</v>
      </c>
      <c r="C2" s="2"/>
      <c r="D2" s="3"/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</row>
    <row r="3" customFormat="false" ht="15" hidden="false" customHeight="false" outlineLevel="0" collapsed="false">
      <c r="B3" s="5" t="s">
        <v>16</v>
      </c>
      <c r="C3" s="6"/>
      <c r="D3" s="7"/>
      <c r="E3" s="8" t="n">
        <v>310000</v>
      </c>
      <c r="F3" s="8" t="n">
        <v>213285</v>
      </c>
      <c r="G3" s="8" t="n">
        <f aca="false">G4+G5</f>
        <v>135267</v>
      </c>
      <c r="H3" s="8" t="n">
        <f aca="false">H4+H5</f>
        <v>152866</v>
      </c>
      <c r="I3" s="8" t="n">
        <v>208420</v>
      </c>
      <c r="J3" s="8" t="n">
        <f aca="false">J4+J5</f>
        <v>341957</v>
      </c>
      <c r="K3" s="8" t="n">
        <f aca="false">K4+K5</f>
        <v>272506</v>
      </c>
      <c r="L3" s="8" t="n">
        <v>220302</v>
      </c>
      <c r="M3" s="8" t="n">
        <v>210132</v>
      </c>
      <c r="N3" s="8" t="n">
        <v>242293</v>
      </c>
      <c r="O3" s="8" t="n">
        <v>294707</v>
      </c>
      <c r="P3" s="8" t="n">
        <v>424290</v>
      </c>
      <c r="Q3" s="8" t="n">
        <v>399308</v>
      </c>
      <c r="R3" s="8" t="n">
        <v>363877</v>
      </c>
      <c r="S3" s="8" t="n">
        <v>298704</v>
      </c>
    </row>
    <row r="4" customFormat="false" ht="15" hidden="false" customHeight="false" outlineLevel="0" collapsed="false">
      <c r="B4" s="9" t="s">
        <v>17</v>
      </c>
      <c r="C4" s="10"/>
      <c r="D4" s="7"/>
      <c r="E4" s="8" t="n">
        <v>310000</v>
      </c>
      <c r="F4" s="8" t="n">
        <v>213285</v>
      </c>
      <c r="G4" s="8" t="n">
        <v>135267</v>
      </c>
      <c r="H4" s="8" t="n">
        <v>151016</v>
      </c>
      <c r="I4" s="8" t="n">
        <v>208420</v>
      </c>
      <c r="J4" s="8" t="n">
        <v>338457</v>
      </c>
      <c r="K4" s="8" t="n">
        <v>272506</v>
      </c>
      <c r="L4" s="8" t="n">
        <v>220302</v>
      </c>
      <c r="M4" s="8" t="n">
        <v>210132</v>
      </c>
      <c r="N4" s="8" t="n">
        <v>242293</v>
      </c>
      <c r="O4" s="8" t="n">
        <v>294707</v>
      </c>
      <c r="P4" s="8" t="n">
        <v>429290</v>
      </c>
      <c r="Q4" s="8" t="n">
        <v>399308</v>
      </c>
      <c r="R4" s="8" t="n">
        <v>363877</v>
      </c>
      <c r="S4" s="8" t="n">
        <v>298704</v>
      </c>
    </row>
    <row r="5" customFormat="false" ht="15" hidden="false" customHeight="false" outlineLevel="0" collapsed="false">
      <c r="B5" s="11" t="s">
        <v>18</v>
      </c>
      <c r="C5" s="12"/>
      <c r="D5" s="7"/>
      <c r="E5" s="8"/>
      <c r="F5" s="8"/>
      <c r="G5" s="8"/>
      <c r="H5" s="8" t="n">
        <v>1850</v>
      </c>
      <c r="I5" s="8"/>
      <c r="J5" s="8" t="n">
        <v>3500</v>
      </c>
      <c r="K5" s="8"/>
      <c r="L5" s="8"/>
      <c r="M5" s="8"/>
      <c r="N5" s="8"/>
      <c r="O5" s="8"/>
      <c r="P5" s="8"/>
      <c r="Q5" s="8"/>
      <c r="R5" s="8"/>
      <c r="S5" s="8"/>
    </row>
    <row r="6" customFormat="false" ht="15" hidden="false" customHeight="false" outlineLevel="0" collapsed="false">
      <c r="B6" s="13"/>
      <c r="C6" s="14"/>
      <c r="D6" s="15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customFormat="false" ht="15" hidden="false" customHeight="false" outlineLevel="0" collapsed="false">
      <c r="B7" s="18" t="s">
        <v>19</v>
      </c>
      <c r="C7" s="19" t="s">
        <v>20</v>
      </c>
      <c r="D7" s="15"/>
      <c r="E7" s="20" t="n">
        <f aca="false">E3*0.65%</f>
        <v>2015</v>
      </c>
      <c r="F7" s="20" t="n">
        <f aca="false">F3*0.65%</f>
        <v>1386.3525</v>
      </c>
      <c r="G7" s="20" t="n">
        <f aca="false">G3*0.65%</f>
        <v>879.2355</v>
      </c>
      <c r="H7" s="20" t="n">
        <v>602.16</v>
      </c>
      <c r="I7" s="20" t="n">
        <f aca="false">I3*0.65%</f>
        <v>1354.73</v>
      </c>
      <c r="J7" s="20" t="n">
        <f aca="false">J3*0.65%</f>
        <v>2222.7205</v>
      </c>
      <c r="K7" s="21" t="n">
        <f aca="false">K3*0.65%</f>
        <v>1771.289</v>
      </c>
      <c r="L7" s="20" t="n">
        <f aca="false">L3*0.65%</f>
        <v>1431.963</v>
      </c>
      <c r="M7" s="20" t="n">
        <f aca="false">M3*0.65%</f>
        <v>1365.858</v>
      </c>
      <c r="N7" s="20" t="n">
        <f aca="false">N3*0.65%</f>
        <v>1574.9045</v>
      </c>
      <c r="O7" s="20" t="n">
        <f aca="false">O3*0.65%</f>
        <v>1915.5955</v>
      </c>
      <c r="P7" s="20" t="n">
        <f aca="false">P3*0.65%</f>
        <v>2757.885</v>
      </c>
      <c r="Q7" s="20" t="n">
        <f aca="false">Q3*0.65%</f>
        <v>2595.502</v>
      </c>
      <c r="R7" s="20" t="n">
        <f aca="false">R3*0.65%</f>
        <v>2365.2005</v>
      </c>
      <c r="S7" s="20" t="n">
        <f aca="false">S3*0.65%</f>
        <v>1941.576</v>
      </c>
    </row>
    <row r="8" customFormat="false" ht="15" hidden="false" customHeight="false" outlineLevel="0" collapsed="false">
      <c r="B8" s="18"/>
      <c r="C8" s="19" t="s">
        <v>21</v>
      </c>
      <c r="D8" s="15"/>
      <c r="E8" s="20" t="n">
        <f aca="false">E3*3%</f>
        <v>9300</v>
      </c>
      <c r="F8" s="20" t="n">
        <f aca="false">F3*3%</f>
        <v>6398.55</v>
      </c>
      <c r="G8" s="20" t="n">
        <f aca="false">G3*3%</f>
        <v>4058.01</v>
      </c>
      <c r="H8" s="20" t="n">
        <v>2779.16</v>
      </c>
      <c r="I8" s="20" t="n">
        <f aca="false">I3*3%</f>
        <v>6252.6</v>
      </c>
      <c r="J8" s="20" t="n">
        <f aca="false">J3*3%</f>
        <v>10258.71</v>
      </c>
      <c r="K8" s="21" t="n">
        <f aca="false">K3*3%</f>
        <v>8175.18</v>
      </c>
      <c r="L8" s="20" t="n">
        <f aca="false">L3*3%</f>
        <v>6609.06</v>
      </c>
      <c r="M8" s="20" t="n">
        <f aca="false">M3*3%</f>
        <v>6303.96</v>
      </c>
      <c r="N8" s="20" t="n">
        <f aca="false">N3*3%</f>
        <v>7268.79</v>
      </c>
      <c r="O8" s="20" t="n">
        <f aca="false">O3*3%</f>
        <v>8841.21</v>
      </c>
      <c r="P8" s="20" t="n">
        <f aca="false">P3*3%</f>
        <v>12728.7</v>
      </c>
      <c r="Q8" s="20" t="n">
        <f aca="false">Q3*3%</f>
        <v>11979.24</v>
      </c>
      <c r="R8" s="20" t="n">
        <f aca="false">R3*3%</f>
        <v>10916.31</v>
      </c>
      <c r="S8" s="20" t="n">
        <f aca="false">S3*3%</f>
        <v>8961.12</v>
      </c>
    </row>
    <row r="9" customFormat="false" ht="15" hidden="false" customHeight="false" outlineLevel="0" collapsed="false">
      <c r="B9" s="18"/>
      <c r="C9" s="22" t="s">
        <v>22</v>
      </c>
      <c r="D9" s="15"/>
      <c r="E9" s="20" t="n">
        <f aca="false">E4*12%</f>
        <v>37200</v>
      </c>
      <c r="F9" s="20" t="n">
        <f aca="false">F3*10%</f>
        <v>21328.5</v>
      </c>
      <c r="G9" s="20" t="n">
        <f aca="false">G4*10%</f>
        <v>13526.7</v>
      </c>
      <c r="H9" s="20" t="n">
        <f aca="false">H4*10%</f>
        <v>15101.6</v>
      </c>
      <c r="I9" s="20" t="n">
        <f aca="false">I4*10%</f>
        <v>20842</v>
      </c>
      <c r="J9" s="20" t="n">
        <f aca="false">J4*10%</f>
        <v>33845.7</v>
      </c>
      <c r="K9" s="21" t="n">
        <f aca="false">K4*10%</f>
        <v>27250.6</v>
      </c>
      <c r="L9" s="20" t="n">
        <f aca="false">L4*3%</f>
        <v>6609.06</v>
      </c>
      <c r="M9" s="20" t="n">
        <f aca="false">M4*10%</f>
        <v>21013.2</v>
      </c>
      <c r="N9" s="20" t="n">
        <f aca="false">N4*10%</f>
        <v>24229.3</v>
      </c>
      <c r="O9" s="20" t="n">
        <f aca="false">O4*10%</f>
        <v>29470.7</v>
      </c>
      <c r="P9" s="20" t="n">
        <f aca="false">P4*10%</f>
        <v>42929</v>
      </c>
      <c r="Q9" s="20" t="n">
        <f aca="false">Q4*10%</f>
        <v>39930.8</v>
      </c>
      <c r="R9" s="20" t="n">
        <f aca="false">R4*10%</f>
        <v>36387.7</v>
      </c>
      <c r="S9" s="20" t="n">
        <f aca="false">S4*10%</f>
        <v>29870.4</v>
      </c>
    </row>
    <row r="10" customFormat="false" ht="15" hidden="false" customHeight="false" outlineLevel="0" collapsed="false">
      <c r="B10" s="18"/>
      <c r="C10" s="19" t="s">
        <v>23</v>
      </c>
      <c r="D10" s="7"/>
      <c r="E10" s="23" t="n">
        <f aca="false">SUM(E7:E9)</f>
        <v>48515</v>
      </c>
      <c r="F10" s="23" t="n">
        <f aca="false">SUM(F7:F9)</f>
        <v>29113.4025</v>
      </c>
      <c r="G10" s="23" t="n">
        <f aca="false">SUM(G7:G9)</f>
        <v>18463.9455</v>
      </c>
      <c r="H10" s="23" t="n">
        <f aca="false">SUM(H7:H9)</f>
        <v>18482.92</v>
      </c>
      <c r="I10" s="23" t="n">
        <f aca="false">SUM(I7:I9)</f>
        <v>28449.33</v>
      </c>
      <c r="J10" s="23" t="n">
        <f aca="false">SUM(J7:J9)</f>
        <v>46327.1305</v>
      </c>
      <c r="K10" s="23" t="n">
        <f aca="false">SUM(K7:K9)</f>
        <v>37197.069</v>
      </c>
      <c r="L10" s="23" t="n">
        <f aca="false">SUM(L7:L9)</f>
        <v>14650.083</v>
      </c>
      <c r="M10" s="23" t="n">
        <f aca="false">SUM(M7:M9)</f>
        <v>28683.018</v>
      </c>
      <c r="N10" s="23" t="n">
        <f aca="false">SUM(N7:N9)</f>
        <v>33072.9945</v>
      </c>
      <c r="O10" s="23" t="n">
        <f aca="false">SUM(O7:O9)</f>
        <v>40227.5055</v>
      </c>
      <c r="P10" s="23" t="n">
        <f aca="false">SUM(P7:P9)</f>
        <v>58415.585</v>
      </c>
      <c r="Q10" s="23" t="n">
        <f aca="false">SUM(Q7:Q9)</f>
        <v>54505.542</v>
      </c>
      <c r="R10" s="23" t="n">
        <f aca="false">SUM(R7:R9)</f>
        <v>49669.2105</v>
      </c>
      <c r="S10" s="23" t="n">
        <f aca="false">SUM(S7:S9)</f>
        <v>40773.096</v>
      </c>
    </row>
    <row r="11" customFormat="false" ht="15" hidden="false" customHeight="false" outlineLevel="0" collapsed="false">
      <c r="B11" s="24"/>
      <c r="C11" s="10"/>
      <c r="D11" s="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2" customFormat="false" ht="15" hidden="false" customHeight="false" outlineLevel="0" collapsed="false">
      <c r="B12" s="26" t="s">
        <v>24</v>
      </c>
      <c r="C12" s="27" t="n">
        <v>0.08</v>
      </c>
      <c r="D12" s="15"/>
      <c r="E12" s="16" t="n">
        <f aca="false">E3*$C$12</f>
        <v>24800</v>
      </c>
      <c r="F12" s="16" t="n">
        <f aca="false">F3*$C$12</f>
        <v>17062.8</v>
      </c>
      <c r="G12" s="16" t="n">
        <f aca="false">G3*$C$12</f>
        <v>10821.36</v>
      </c>
      <c r="H12" s="16" t="n">
        <f aca="false">H3*$C$12</f>
        <v>12229.28</v>
      </c>
      <c r="I12" s="16" t="n">
        <f aca="false">I3*$C$12</f>
        <v>16673.6</v>
      </c>
      <c r="J12" s="16" t="n">
        <f aca="false">J3*$C$12</f>
        <v>27356.56</v>
      </c>
      <c r="K12" s="28" t="n">
        <f aca="false">K3*$C$12</f>
        <v>21800.48</v>
      </c>
      <c r="L12" s="16" t="n">
        <f aca="false">L3*$C$12</f>
        <v>17624.16</v>
      </c>
      <c r="M12" s="16" t="n">
        <f aca="false">M3*$C$12</f>
        <v>16810.56</v>
      </c>
      <c r="N12" s="16" t="n">
        <f aca="false">N3*$C$12</f>
        <v>19383.44</v>
      </c>
      <c r="O12" s="16" t="n">
        <f aca="false">O3*$C$12</f>
        <v>23576.56</v>
      </c>
      <c r="P12" s="16" t="n">
        <f aca="false">P3*$C$12</f>
        <v>33943.2</v>
      </c>
      <c r="Q12" s="16" t="n">
        <f aca="false">Q3*$C$12</f>
        <v>31944.64</v>
      </c>
      <c r="R12" s="16" t="n">
        <f aca="false">R3*$C$12</f>
        <v>29110.16</v>
      </c>
      <c r="S12" s="16" t="n">
        <f aca="false">S3*$C$12</f>
        <v>23896.32</v>
      </c>
    </row>
    <row r="13" customFormat="false" ht="15" hidden="false" customHeight="false" outlineLevel="0" collapsed="false">
      <c r="B13" s="29" t="s">
        <v>25</v>
      </c>
      <c r="C13" s="30" t="n">
        <v>0.15</v>
      </c>
      <c r="D13" s="15"/>
      <c r="E13" s="31" t="n">
        <f aca="false">$C$13*E12</f>
        <v>3720</v>
      </c>
      <c r="F13" s="31" t="n">
        <f aca="false">$C$13*F12</f>
        <v>2559.42</v>
      </c>
      <c r="G13" s="31" t="n">
        <f aca="false">$C$13*G12</f>
        <v>1623.204</v>
      </c>
      <c r="H13" s="31" t="n">
        <f aca="false">$C$13*H12</f>
        <v>1834.392</v>
      </c>
      <c r="I13" s="31" t="n">
        <f aca="false">$C$13*I12</f>
        <v>2501.04</v>
      </c>
      <c r="J13" s="31" t="n">
        <f aca="false">$C$13*J12</f>
        <v>4103.484</v>
      </c>
      <c r="K13" s="32" t="n">
        <f aca="false">$C$13*K12</f>
        <v>3270.072</v>
      </c>
      <c r="L13" s="31" t="n">
        <f aca="false">$C$13*L12</f>
        <v>2643.624</v>
      </c>
      <c r="M13" s="31" t="n">
        <f aca="false">$C$13*M12</f>
        <v>2521.584</v>
      </c>
      <c r="N13" s="31" t="n">
        <f aca="false">$C$13*N12</f>
        <v>2907.516</v>
      </c>
      <c r="O13" s="31" t="n">
        <f aca="false">$C$13*O12</f>
        <v>3536.484</v>
      </c>
      <c r="P13" s="31" t="n">
        <f aca="false">$C$13*P12</f>
        <v>5091.48</v>
      </c>
      <c r="Q13" s="31" t="n">
        <f aca="false">$C$13*Q12</f>
        <v>4791.696</v>
      </c>
      <c r="R13" s="31" t="n">
        <f aca="false">$C$13*R12</f>
        <v>4366.524</v>
      </c>
      <c r="S13" s="31" t="n">
        <f aca="false">$C$13*S12</f>
        <v>3584.448</v>
      </c>
    </row>
    <row r="14" customFormat="false" ht="15" hidden="false" customHeight="false" outlineLevel="0" collapsed="false">
      <c r="B14" s="26" t="s">
        <v>26</v>
      </c>
      <c r="C14" s="27" t="n">
        <v>0.12</v>
      </c>
      <c r="D14" s="15"/>
      <c r="E14" s="16" t="n">
        <f aca="false">E3*$C$14</f>
        <v>37200</v>
      </c>
      <c r="F14" s="16" t="n">
        <f aca="false">F3*$C$14</f>
        <v>25594.2</v>
      </c>
      <c r="G14" s="16" t="n">
        <f aca="false">G3*$C$14</f>
        <v>16232.04</v>
      </c>
      <c r="H14" s="16" t="n">
        <f aca="false">H3*$C$14</f>
        <v>18343.92</v>
      </c>
      <c r="I14" s="16" t="n">
        <f aca="false">I3*$C$14</f>
        <v>25010.4</v>
      </c>
      <c r="J14" s="16" t="n">
        <f aca="false">J3*$C$14</f>
        <v>41034.84</v>
      </c>
      <c r="K14" s="28" t="n">
        <f aca="false">K3*$C$14</f>
        <v>32700.72</v>
      </c>
      <c r="L14" s="16" t="n">
        <f aca="false">L3*$C$14</f>
        <v>26436.24</v>
      </c>
      <c r="M14" s="16" t="n">
        <f aca="false">M3*$C$14</f>
        <v>25215.84</v>
      </c>
      <c r="N14" s="16" t="n">
        <f aca="false">N3*$C$14</f>
        <v>29075.16</v>
      </c>
      <c r="O14" s="16" t="n">
        <f aca="false">O3*$C$14</f>
        <v>35364.84</v>
      </c>
      <c r="P14" s="16" t="n">
        <f aca="false">P3*$C$14</f>
        <v>50914.8</v>
      </c>
      <c r="Q14" s="16" t="n">
        <f aca="false">Q3*$C$14</f>
        <v>47916.96</v>
      </c>
      <c r="R14" s="16" t="n">
        <f aca="false">R3*$C$14</f>
        <v>43665.24</v>
      </c>
      <c r="S14" s="16" t="n">
        <f aca="false">S3*$C$14</f>
        <v>35844.48</v>
      </c>
    </row>
    <row r="15" customFormat="false" ht="15" hidden="false" customHeight="false" outlineLevel="0" collapsed="false">
      <c r="B15" s="29" t="s">
        <v>27</v>
      </c>
      <c r="C15" s="30" t="n">
        <v>0.09</v>
      </c>
      <c r="D15" s="15"/>
      <c r="E15" s="31" t="n">
        <f aca="false">E14*$C$15</f>
        <v>3348</v>
      </c>
      <c r="F15" s="31" t="n">
        <f aca="false">F14*$C$15</f>
        <v>2303.478</v>
      </c>
      <c r="G15" s="31" t="n">
        <f aca="false">G14*$C$15</f>
        <v>1460.8836</v>
      </c>
      <c r="H15" s="31" t="n">
        <f aca="false">H14*$C$15</f>
        <v>1650.9528</v>
      </c>
      <c r="I15" s="31" t="n">
        <f aca="false">I14*$C$15</f>
        <v>2250.936</v>
      </c>
      <c r="J15" s="31" t="n">
        <f aca="false">J14*$C$15</f>
        <v>3693.1356</v>
      </c>
      <c r="K15" s="33" t="n">
        <f aca="false">K14*$C$15</f>
        <v>2943.0648</v>
      </c>
      <c r="L15" s="31" t="n">
        <f aca="false">L14*$C$15</f>
        <v>2379.2616</v>
      </c>
      <c r="M15" s="31" t="n">
        <f aca="false">M14*$C$15</f>
        <v>2269.4256</v>
      </c>
      <c r="N15" s="31" t="n">
        <f aca="false">N14*$C$15</f>
        <v>2616.7644</v>
      </c>
      <c r="O15" s="31" t="n">
        <f aca="false">O14*$C$15</f>
        <v>3182.8356</v>
      </c>
      <c r="P15" s="31" t="n">
        <f aca="false">P14*$C$15</f>
        <v>4582.332</v>
      </c>
      <c r="Q15" s="31" t="n">
        <f aca="false">Q14*$C$15</f>
        <v>4312.5264</v>
      </c>
      <c r="R15" s="31" t="n">
        <f aca="false">R14*$C$15</f>
        <v>3929.8716</v>
      </c>
      <c r="S15" s="31" t="n">
        <f aca="false">S14*$C$15</f>
        <v>3226.0032</v>
      </c>
    </row>
    <row r="16" customFormat="false" ht="15" hidden="false" customHeight="false" outlineLevel="0" collapsed="false">
      <c r="B16" s="34" t="s">
        <v>28</v>
      </c>
      <c r="C16" s="35"/>
      <c r="D16" s="7"/>
      <c r="E16" s="36" t="n">
        <f aca="false">E13+E15</f>
        <v>7068</v>
      </c>
      <c r="F16" s="36" t="n">
        <f aca="false">F13+F15</f>
        <v>4862.898</v>
      </c>
      <c r="G16" s="36" t="n">
        <f aca="false">G13+G15</f>
        <v>3084.0876</v>
      </c>
      <c r="H16" s="36" t="n">
        <f aca="false">H13+H15</f>
        <v>3485.3448</v>
      </c>
      <c r="I16" s="36" t="n">
        <f aca="false">I13+I15</f>
        <v>4751.976</v>
      </c>
      <c r="J16" s="36" t="n">
        <f aca="false">J13+J15</f>
        <v>7796.6196</v>
      </c>
      <c r="K16" s="36" t="n">
        <f aca="false">K13+K15</f>
        <v>6213.1368</v>
      </c>
      <c r="L16" s="36" t="n">
        <f aca="false">L13+L15</f>
        <v>5022.8856</v>
      </c>
      <c r="M16" s="36" t="n">
        <f aca="false">M13+M15</f>
        <v>4791.0096</v>
      </c>
      <c r="N16" s="36" t="n">
        <f aca="false">N13+N15</f>
        <v>5524.2804</v>
      </c>
      <c r="O16" s="36" t="n">
        <f aca="false">O13+O15</f>
        <v>6719.3196</v>
      </c>
      <c r="P16" s="36" t="n">
        <f aca="false">P13+P15</f>
        <v>9673.812</v>
      </c>
      <c r="Q16" s="36" t="n">
        <f aca="false">Q13+Q15</f>
        <v>9104.2224</v>
      </c>
      <c r="R16" s="36" t="n">
        <f aca="false">R13+R15</f>
        <v>8296.3956</v>
      </c>
      <c r="S16" s="36" t="n">
        <f aca="false">S13+S15</f>
        <v>6810.4512</v>
      </c>
    </row>
    <row r="17" customFormat="false" ht="15" hidden="false" customHeight="false" outlineLevel="0" collapsed="false">
      <c r="B17" s="37"/>
      <c r="C17" s="3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customFormat="false" ht="15" hidden="false" customHeight="false" outlineLevel="0" collapsed="false">
      <c r="A18" s="38"/>
      <c r="B18" s="39" t="s">
        <v>29</v>
      </c>
      <c r="C18" s="40" t="s">
        <v>30</v>
      </c>
      <c r="D18" s="7"/>
      <c r="E18" s="41" t="n">
        <f aca="false">E3-E10-E16</f>
        <v>254417</v>
      </c>
      <c r="F18" s="41" t="n">
        <f aca="false">F3-F10-F16</f>
        <v>179308.6995</v>
      </c>
      <c r="G18" s="41" t="n">
        <f aca="false">G3-G10-G16</f>
        <v>113718.9669</v>
      </c>
      <c r="H18" s="41" t="n">
        <f aca="false">H3-H10-H16</f>
        <v>130897.7352</v>
      </c>
      <c r="I18" s="41" t="n">
        <f aca="false">I3-I10-I16</f>
        <v>175218.694</v>
      </c>
      <c r="J18" s="41" t="n">
        <f aca="false">J3-J10-J16</f>
        <v>287833.2499</v>
      </c>
      <c r="K18" s="41" t="n">
        <f aca="false">K3-K10-K16</f>
        <v>229095.7942</v>
      </c>
      <c r="L18" s="41" t="n">
        <f aca="false">L3-L10-L16</f>
        <v>200629.0314</v>
      </c>
      <c r="M18" s="41" t="n">
        <f aca="false">M3-M10-M16</f>
        <v>176657.9724</v>
      </c>
      <c r="N18" s="41" t="n">
        <f aca="false">N3-N10-N16</f>
        <v>203695.7251</v>
      </c>
      <c r="O18" s="41" t="n">
        <f aca="false">O3-O10-O16</f>
        <v>247760.1749</v>
      </c>
      <c r="P18" s="41" t="n">
        <f aca="false">P3-P10-P16</f>
        <v>356200.603</v>
      </c>
      <c r="Q18" s="41" t="n">
        <f aca="false">Q3-Q10-Q16</f>
        <v>335698.2356</v>
      </c>
      <c r="R18" s="41" t="n">
        <f aca="false">R3-R10-R16</f>
        <v>305911.3939</v>
      </c>
      <c r="S18" s="41" t="n">
        <f aca="false">S3-S10-S16</f>
        <v>251120.4528</v>
      </c>
    </row>
    <row r="19" customFormat="false" ht="15" hidden="false" customHeight="false" outlineLevel="0" collapsed="false">
      <c r="A19" s="38"/>
      <c r="B19" s="39"/>
      <c r="C19" s="42"/>
      <c r="D19" s="15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customFormat="false" ht="15" hidden="false" customHeight="false" outlineLevel="0" collapsed="false">
      <c r="A20" s="38"/>
      <c r="B20" s="39"/>
      <c r="C20" s="19" t="s">
        <v>31</v>
      </c>
      <c r="D20" s="7"/>
      <c r="E20" s="23" t="e">
        <f aca="false">E27+E42</f>
        <v>#REF!</v>
      </c>
      <c r="F20" s="23" t="e">
        <f aca="false">F27+F42</f>
        <v>#REF!</v>
      </c>
      <c r="G20" s="23" t="e">
        <f aca="false">G27+G42</f>
        <v>#REF!</v>
      </c>
      <c r="H20" s="23" t="e">
        <f aca="false">H27+H42</f>
        <v>#REF!</v>
      </c>
      <c r="I20" s="23" t="e">
        <f aca="false">I27+I42</f>
        <v>#REF!</v>
      </c>
      <c r="J20" s="23" t="e">
        <f aca="false">J27+J42</f>
        <v>#REF!</v>
      </c>
      <c r="K20" s="23" t="e">
        <f aca="false">K27+K42</f>
        <v>#REF!</v>
      </c>
      <c r="L20" s="23" t="e">
        <f aca="false">L27+L42</f>
        <v>#REF!</v>
      </c>
      <c r="M20" s="23" t="e">
        <f aca="false">M27+M42</f>
        <v>#REF!</v>
      </c>
      <c r="N20" s="23" t="e">
        <f aca="false">N27+N42</f>
        <v>#REF!</v>
      </c>
      <c r="O20" s="23" t="e">
        <f aca="false">O27+O42</f>
        <v>#REF!</v>
      </c>
      <c r="P20" s="23" t="e">
        <f aca="false">P27+P42</f>
        <v>#REF!</v>
      </c>
      <c r="Q20" s="23" t="e">
        <f aca="false">Q27+Q42</f>
        <v>#REF!</v>
      </c>
      <c r="R20" s="23" t="e">
        <f aca="false">R27+R42</f>
        <v>#REF!</v>
      </c>
      <c r="S20" s="23" t="e">
        <f aca="false">S27+S42</f>
        <v>#REF!</v>
      </c>
    </row>
    <row r="21" customFormat="false" ht="15" hidden="false" customHeight="false" outlineLevel="0" collapsed="false">
      <c r="A21" s="38"/>
      <c r="B21" s="39"/>
      <c r="C21" s="42"/>
      <c r="D21" s="15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</row>
    <row r="22" customFormat="false" ht="15" hidden="false" customHeight="false" outlineLevel="0" collapsed="false">
      <c r="A22" s="38"/>
      <c r="B22" s="39"/>
      <c r="C22" s="43" t="s">
        <v>32</v>
      </c>
      <c r="D22" s="44"/>
      <c r="E22" s="45" t="e">
        <f aca="false">E18-E20</f>
        <v>#REF!</v>
      </c>
      <c r="F22" s="45" t="e">
        <f aca="false">F18-F20</f>
        <v>#REF!</v>
      </c>
      <c r="G22" s="45" t="e">
        <f aca="false">G18-G20</f>
        <v>#REF!</v>
      </c>
      <c r="H22" s="45" t="e">
        <f aca="false">H18-H20</f>
        <v>#REF!</v>
      </c>
      <c r="I22" s="45" t="e">
        <f aca="false">I18-I20</f>
        <v>#REF!</v>
      </c>
      <c r="J22" s="45" t="e">
        <f aca="false">J18-J20</f>
        <v>#REF!</v>
      </c>
      <c r="K22" s="45" t="e">
        <f aca="false">K18-K20</f>
        <v>#REF!</v>
      </c>
      <c r="L22" s="45" t="e">
        <f aca="false">L18-L20</f>
        <v>#REF!</v>
      </c>
      <c r="M22" s="45" t="e">
        <f aca="false">M18-M20</f>
        <v>#REF!</v>
      </c>
      <c r="N22" s="45" t="e">
        <f aca="false">N18-N20</f>
        <v>#REF!</v>
      </c>
      <c r="O22" s="45" t="e">
        <f aca="false">O18-O20</f>
        <v>#REF!</v>
      </c>
      <c r="P22" s="45" t="e">
        <f aca="false">P18-P20</f>
        <v>#REF!</v>
      </c>
      <c r="Q22" s="45" t="e">
        <f aca="false">Q18-Q20</f>
        <v>#REF!</v>
      </c>
      <c r="R22" s="45" t="e">
        <f aca="false">R18-R20</f>
        <v>#REF!</v>
      </c>
      <c r="S22" s="45" t="e">
        <f aca="false">S18-S20</f>
        <v>#REF!</v>
      </c>
    </row>
    <row r="23" customFormat="false" ht="15.75" hidden="false" customHeight="true" outlineLevel="0" collapsed="false">
      <c r="A23" s="38"/>
      <c r="B23" s="37"/>
      <c r="C23" s="46" t="s">
        <v>33</v>
      </c>
      <c r="D23" s="47"/>
      <c r="E23" s="48" t="e">
        <f aca="false">E22/E3</f>
        <v>#REF!</v>
      </c>
      <c r="F23" s="48" t="e">
        <f aca="false">F22/F3</f>
        <v>#REF!</v>
      </c>
      <c r="G23" s="48" t="e">
        <f aca="false">G22/G3</f>
        <v>#REF!</v>
      </c>
      <c r="H23" s="48" t="e">
        <f aca="false">H22/H3</f>
        <v>#REF!</v>
      </c>
      <c r="I23" s="48" t="e">
        <f aca="false">I22/I3</f>
        <v>#REF!</v>
      </c>
      <c r="J23" s="48" t="e">
        <f aca="false">J22/J3</f>
        <v>#REF!</v>
      </c>
      <c r="K23" s="48" t="e">
        <f aca="false">K22/K3</f>
        <v>#REF!</v>
      </c>
      <c r="L23" s="48" t="e">
        <f aca="false">L22/L3</f>
        <v>#REF!</v>
      </c>
      <c r="M23" s="48" t="e">
        <f aca="false">M22/M3</f>
        <v>#REF!</v>
      </c>
      <c r="N23" s="48" t="e">
        <f aca="false">N22/N3</f>
        <v>#REF!</v>
      </c>
      <c r="O23" s="48" t="e">
        <f aca="false">O22/O3</f>
        <v>#REF!</v>
      </c>
      <c r="P23" s="48" t="e">
        <f aca="false">P22/P3</f>
        <v>#REF!</v>
      </c>
      <c r="Q23" s="48" t="e">
        <f aca="false">Q22/Q3</f>
        <v>#REF!</v>
      </c>
      <c r="R23" s="48" t="e">
        <f aca="false">R22/R3</f>
        <v>#REF!</v>
      </c>
      <c r="S23" s="48" t="e">
        <f aca="false">S22/S3</f>
        <v>#REF!</v>
      </c>
    </row>
    <row r="24" customFormat="false" ht="15.75" hidden="false" customHeight="true" outlineLevel="0" collapsed="false">
      <c r="A24" s="38"/>
      <c r="B24" s="37"/>
      <c r="C24" s="49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</row>
    <row r="25" customFormat="false" ht="15.75" hidden="false" customHeight="true" outlineLevel="0" collapsed="false">
      <c r="B25" s="37"/>
      <c r="C25" s="49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</row>
    <row r="26" customFormat="false" ht="15.75" hidden="false" customHeight="true" outlineLevel="0" collapsed="false">
      <c r="B26" s="4" t="s">
        <v>34</v>
      </c>
      <c r="C26" s="4" t="s">
        <v>35</v>
      </c>
      <c r="D26" s="3"/>
      <c r="E26" s="4" t="s">
        <v>1</v>
      </c>
      <c r="F26" s="4" t="s">
        <v>2</v>
      </c>
      <c r="G26" s="4" t="s">
        <v>3</v>
      </c>
      <c r="H26" s="4" t="s">
        <v>4</v>
      </c>
      <c r="I26" s="4" t="s">
        <v>5</v>
      </c>
      <c r="J26" s="4" t="s">
        <v>36</v>
      </c>
      <c r="K26" s="4" t="s">
        <v>37</v>
      </c>
      <c r="L26" s="4" t="s">
        <v>38</v>
      </c>
      <c r="M26" s="4" t="s">
        <v>39</v>
      </c>
      <c r="N26" s="4" t="s">
        <v>40</v>
      </c>
      <c r="O26" s="4" t="s">
        <v>41</v>
      </c>
      <c r="P26" s="4" t="s">
        <v>42</v>
      </c>
      <c r="Q26" s="4" t="s">
        <v>13</v>
      </c>
      <c r="R26" s="4" t="s">
        <v>14</v>
      </c>
      <c r="S26" s="4" t="s">
        <v>15</v>
      </c>
    </row>
    <row r="27" customFormat="false" ht="15.75" hidden="false" customHeight="true" outlineLevel="0" collapsed="false">
      <c r="B27" s="29" t="s">
        <v>43</v>
      </c>
      <c r="C27" s="51"/>
      <c r="D27" s="7"/>
      <c r="E27" s="52" t="e">
        <f aca="false">E28+E29+E31+E32+E33+E34+E35+E37+E38+E39+#REF!</f>
        <v>#REF!</v>
      </c>
      <c r="F27" s="52" t="e">
        <f aca="false">F28+F29+F31+F32+F33+F34+F35+F37+F38+F39+#REF!</f>
        <v>#REF!</v>
      </c>
      <c r="G27" s="52" t="e">
        <f aca="false">G28+G29+G31+G32+G33+G34+G35+G37+G38+G39+#REF!</f>
        <v>#REF!</v>
      </c>
      <c r="H27" s="52" t="e">
        <f aca="false">H28+H29+H31+H32+H33+H34+H35+H37+H38+H39+#REF!</f>
        <v>#REF!</v>
      </c>
      <c r="I27" s="52" t="e">
        <f aca="false">I28+I29+I31+I32+I33+I34+I35+I37+I38+I39+#REF!</f>
        <v>#REF!</v>
      </c>
      <c r="J27" s="52" t="e">
        <f aca="false">J28+J29+J31+J32+J33+J34+J35+J37+J38+J39+#REF!</f>
        <v>#REF!</v>
      </c>
      <c r="K27" s="52" t="e">
        <f aca="false">K28+K29+K31+K32+K33+K34+K35+K37+K38+K39+#REF!</f>
        <v>#REF!</v>
      </c>
      <c r="L27" s="52" t="e">
        <f aca="false">L28+L29+L31+L32+L33+L34+L35+L37+L38+L39+#REF!</f>
        <v>#REF!</v>
      </c>
      <c r="M27" s="52" t="e">
        <f aca="false">M28+M29+M31+M32+M33+M34+M35+M37+M38+M39+#REF!</f>
        <v>#REF!</v>
      </c>
      <c r="N27" s="52" t="e">
        <f aca="false">N28+N29+N31+N32+N33+N34+N35+N37+N38+N39+#REF!</f>
        <v>#REF!</v>
      </c>
      <c r="O27" s="52" t="e">
        <f aca="false">O28+O29+O31+O32+O33+O34+O35+O37+O38+O39+#REF!</f>
        <v>#REF!</v>
      </c>
      <c r="P27" s="52" t="e">
        <f aca="false">P28+P29+P31+P32+P33+P34+P35+P37+P38+P39+#REF!</f>
        <v>#REF!</v>
      </c>
      <c r="Q27" s="52" t="e">
        <f aca="false">Q28+Q29+Q31+Q32+Q33+Q34+Q35+Q37+Q38+Q39+#REF!</f>
        <v>#REF!</v>
      </c>
      <c r="R27" s="52" t="e">
        <f aca="false">R28+R29+R31+R32+R33+R34+R35+R37+R38+R39+#REF!</f>
        <v>#REF!</v>
      </c>
      <c r="S27" s="52" t="e">
        <f aca="false">S28+S29+S31+S32+S33+S34+S35+S37+S38+S39+#REF!</f>
        <v>#REF!</v>
      </c>
    </row>
    <row r="28" customFormat="false" ht="15.75" hidden="false" customHeight="true" outlineLevel="0" collapsed="false">
      <c r="B28" s="26" t="s">
        <v>44</v>
      </c>
      <c r="C28" s="53"/>
      <c r="D28" s="15"/>
      <c r="E28" s="16" t="n">
        <v>85</v>
      </c>
      <c r="F28" s="28" t="n">
        <v>85</v>
      </c>
      <c r="G28" s="28" t="n">
        <v>85</v>
      </c>
      <c r="H28" s="28" t="n">
        <v>85</v>
      </c>
      <c r="I28" s="28" t="n">
        <v>85</v>
      </c>
      <c r="J28" s="16" t="n">
        <v>85</v>
      </c>
      <c r="K28" s="54" t="n">
        <f aca="false">85+85</f>
        <v>170</v>
      </c>
      <c r="L28" s="54" t="n">
        <v>85</v>
      </c>
      <c r="M28" s="54" t="n">
        <v>85</v>
      </c>
      <c r="N28" s="54" t="n">
        <v>85</v>
      </c>
      <c r="O28" s="54" t="n">
        <v>85</v>
      </c>
      <c r="P28" s="54" t="n">
        <v>85</v>
      </c>
      <c r="Q28" s="54" t="n">
        <v>85</v>
      </c>
      <c r="R28" s="28" t="n">
        <v>85</v>
      </c>
      <c r="S28" s="28" t="n">
        <v>85</v>
      </c>
    </row>
    <row r="29" customFormat="false" ht="15.75" hidden="false" customHeight="true" outlineLevel="0" collapsed="false">
      <c r="B29" s="26" t="s">
        <v>45</v>
      </c>
      <c r="C29" s="53"/>
      <c r="D29" s="15"/>
      <c r="E29" s="16" t="n">
        <v>259</v>
      </c>
      <c r="F29" s="28" t="n">
        <v>259</v>
      </c>
      <c r="G29" s="28" t="n">
        <v>259</v>
      </c>
      <c r="H29" s="28" t="n">
        <v>259</v>
      </c>
      <c r="I29" s="28" t="n">
        <v>259</v>
      </c>
      <c r="J29" s="16" t="n">
        <v>259</v>
      </c>
      <c r="K29" s="54" t="n">
        <v>259</v>
      </c>
      <c r="L29" s="54" t="n">
        <v>259</v>
      </c>
      <c r="M29" s="54" t="n">
        <v>259</v>
      </c>
      <c r="N29" s="54" t="n">
        <v>259</v>
      </c>
      <c r="O29" s="54" t="n">
        <v>259</v>
      </c>
      <c r="P29" s="54" t="n">
        <v>259</v>
      </c>
      <c r="Q29" s="55" t="n">
        <v>264.35</v>
      </c>
      <c r="R29" s="54" t="n">
        <v>269</v>
      </c>
      <c r="S29" s="54" t="n">
        <v>269</v>
      </c>
    </row>
    <row r="30" customFormat="false" ht="15.75" hidden="false" customHeight="true" outlineLevel="0" collapsed="false">
      <c r="B30" s="56" t="s">
        <v>46</v>
      </c>
      <c r="C30" s="53"/>
      <c r="D30" s="15"/>
      <c r="E30" s="16"/>
      <c r="F30" s="28" t="n">
        <v>139</v>
      </c>
      <c r="G30" s="28" t="n">
        <v>139</v>
      </c>
      <c r="H30" s="28" t="n">
        <v>139</v>
      </c>
      <c r="I30" s="28" t="n">
        <v>139</v>
      </c>
      <c r="J30" s="16" t="n">
        <v>139</v>
      </c>
      <c r="K30" s="54" t="n">
        <v>472.17</v>
      </c>
      <c r="L30" s="54" t="n">
        <v>493.26</v>
      </c>
      <c r="M30" s="54" t="n">
        <f aca="false">508.08+178.82</f>
        <v>686.9</v>
      </c>
      <c r="N30" s="54" t="n">
        <v>704.23</v>
      </c>
      <c r="O30" s="54" t="n">
        <v>1057</v>
      </c>
      <c r="P30" s="54" t="n">
        <v>220.73</v>
      </c>
      <c r="Q30" s="54" t="n">
        <v>544.05</v>
      </c>
      <c r="R30" s="54" t="n">
        <v>401</v>
      </c>
      <c r="S30" s="54" t="n">
        <v>325</v>
      </c>
    </row>
    <row r="31" customFormat="false" ht="15.75" hidden="false" customHeight="true" outlineLevel="0" collapsed="false">
      <c r="B31" s="57" t="s">
        <v>47</v>
      </c>
      <c r="C31" s="58"/>
      <c r="D31" s="15"/>
      <c r="E31" s="16" t="n">
        <v>989</v>
      </c>
      <c r="F31" s="28" t="n">
        <v>989</v>
      </c>
      <c r="G31" s="28" t="n">
        <v>989</v>
      </c>
      <c r="H31" s="28" t="n">
        <v>989</v>
      </c>
      <c r="I31" s="28" t="n">
        <v>989</v>
      </c>
      <c r="J31" s="16" t="n">
        <v>989</v>
      </c>
      <c r="K31" s="54" t="n">
        <v>989</v>
      </c>
      <c r="L31" s="54" t="n">
        <v>989</v>
      </c>
      <c r="M31" s="54" t="n">
        <v>989</v>
      </c>
      <c r="N31" s="54" t="n">
        <v>989</v>
      </c>
      <c r="O31" s="54" t="n">
        <v>1057</v>
      </c>
      <c r="P31" s="54" t="n">
        <v>1057</v>
      </c>
      <c r="Q31" s="54" t="n">
        <v>1078.84</v>
      </c>
      <c r="R31" s="54" t="n">
        <v>1096.9</v>
      </c>
      <c r="S31" s="54" t="n">
        <v>1096.9</v>
      </c>
    </row>
    <row r="32" customFormat="false" ht="15.75" hidden="false" customHeight="true" outlineLevel="0" collapsed="false">
      <c r="B32" s="26" t="s">
        <v>48</v>
      </c>
      <c r="C32" s="53"/>
      <c r="D32" s="15"/>
      <c r="E32" s="16" t="n">
        <v>1450</v>
      </c>
      <c r="F32" s="28" t="n">
        <v>1522.04</v>
      </c>
      <c r="G32" s="28" t="n">
        <v>1518</v>
      </c>
      <c r="H32" s="28" t="n">
        <v>1524.06</v>
      </c>
      <c r="I32" s="28" t="n">
        <v>1518</v>
      </c>
      <c r="J32" s="16" t="n">
        <v>1518</v>
      </c>
      <c r="K32" s="54" t="n">
        <v>1523.05</v>
      </c>
      <c r="L32" s="54" t="n">
        <v>1518</v>
      </c>
      <c r="M32" s="54" t="n">
        <v>1518</v>
      </c>
      <c r="N32" s="54" t="n">
        <v>1523.05</v>
      </c>
      <c r="O32" s="54" t="n">
        <v>1625.32</v>
      </c>
      <c r="P32" s="54" t="n">
        <v>1621</v>
      </c>
      <c r="Q32" s="54" t="n">
        <v>1621</v>
      </c>
      <c r="R32" s="54" t="n">
        <v>1621</v>
      </c>
      <c r="S32" s="54" t="n">
        <v>1623.16</v>
      </c>
    </row>
    <row r="33" customFormat="false" ht="15.75" hidden="true" customHeight="true" outlineLevel="0" collapsed="false">
      <c r="B33" s="56"/>
      <c r="C33" s="53"/>
      <c r="D33" s="15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customFormat="false" ht="15.75" hidden="false" customHeight="true" outlineLevel="0" collapsed="false">
      <c r="B34" s="26" t="s">
        <v>49</v>
      </c>
      <c r="C34" s="58"/>
      <c r="D34" s="15"/>
      <c r="E34" s="16" t="n">
        <v>24000</v>
      </c>
      <c r="F34" s="28" t="n">
        <v>24000</v>
      </c>
      <c r="G34" s="28" t="n">
        <v>24000</v>
      </c>
      <c r="H34" s="28" t="n">
        <v>12000</v>
      </c>
      <c r="I34" s="28" t="n">
        <f aca="false">12000+2000+12000+6000+300</f>
        <v>32300</v>
      </c>
      <c r="J34" s="16" t="n">
        <v>24000</v>
      </c>
      <c r="K34" s="54" t="n">
        <v>24000</v>
      </c>
      <c r="L34" s="54" t="n">
        <v>24000</v>
      </c>
      <c r="M34" s="54" t="n">
        <v>24000</v>
      </c>
      <c r="N34" s="54" t="n">
        <v>24000</v>
      </c>
      <c r="O34" s="54" t="n">
        <v>24000</v>
      </c>
      <c r="P34" s="54" t="n">
        <v>24000</v>
      </c>
      <c r="Q34" s="54" t="n">
        <v>24000</v>
      </c>
      <c r="R34" s="54" t="n">
        <v>24000</v>
      </c>
      <c r="S34" s="54" t="n">
        <v>24000</v>
      </c>
    </row>
    <row r="35" customFormat="false" ht="15.75" hidden="true" customHeight="true" outlineLevel="0" collapsed="false">
      <c r="B35" s="59" t="s">
        <v>50</v>
      </c>
      <c r="C35" s="53"/>
      <c r="D35" s="15"/>
      <c r="E35" s="17"/>
      <c r="F35" s="60"/>
      <c r="G35" s="60"/>
      <c r="H35" s="60"/>
      <c r="I35" s="60"/>
      <c r="J35" s="17"/>
      <c r="K35" s="17"/>
      <c r="L35" s="17"/>
      <c r="M35" s="61"/>
      <c r="N35" s="60"/>
      <c r="O35" s="60"/>
      <c r="P35" s="60"/>
      <c r="Q35" s="60"/>
      <c r="R35" s="60"/>
      <c r="S35" s="60"/>
    </row>
    <row r="36" customFormat="false" ht="15.75" hidden="false" customHeight="true" outlineLevel="0" collapsed="false">
      <c r="B36" s="59" t="s">
        <v>51</v>
      </c>
      <c r="C36" s="53"/>
      <c r="D36" s="15"/>
      <c r="E36" s="17"/>
      <c r="F36" s="60"/>
      <c r="G36" s="60"/>
      <c r="H36" s="60"/>
      <c r="I36" s="60"/>
      <c r="J36" s="17"/>
      <c r="K36" s="61" t="n">
        <v>517.44</v>
      </c>
      <c r="L36" s="61" t="n">
        <v>517.44</v>
      </c>
      <c r="M36" s="61" t="n">
        <v>470.58</v>
      </c>
      <c r="N36" s="61" t="n">
        <v>470.58</v>
      </c>
      <c r="O36" s="61" t="n">
        <v>502.51</v>
      </c>
      <c r="P36" s="61" t="n">
        <v>502.51</v>
      </c>
      <c r="Q36" s="61" t="n">
        <v>502.51</v>
      </c>
      <c r="R36" s="61" t="n">
        <v>502.51</v>
      </c>
      <c r="S36" s="61" t="n">
        <v>502.51</v>
      </c>
    </row>
    <row r="37" customFormat="false" ht="15.75" hidden="false" customHeight="true" outlineLevel="0" collapsed="false">
      <c r="B37" s="26" t="s">
        <v>52</v>
      </c>
      <c r="C37" s="16"/>
      <c r="D37" s="15"/>
      <c r="E37" s="16" t="n">
        <v>600</v>
      </c>
      <c r="F37" s="28" t="n">
        <v>600</v>
      </c>
      <c r="G37" s="28" t="n">
        <v>600</v>
      </c>
      <c r="H37" s="28" t="n">
        <v>600</v>
      </c>
      <c r="I37" s="28" t="n">
        <v>600</v>
      </c>
      <c r="J37" s="16" t="n">
        <v>600</v>
      </c>
      <c r="K37" s="54" t="n">
        <v>600</v>
      </c>
      <c r="L37" s="54" t="n">
        <v>600</v>
      </c>
      <c r="M37" s="54" t="n">
        <v>600</v>
      </c>
      <c r="N37" s="54" t="n">
        <v>600</v>
      </c>
      <c r="O37" s="54" t="n">
        <v>600</v>
      </c>
      <c r="P37" s="54" t="n">
        <v>600</v>
      </c>
      <c r="Q37" s="54" t="n">
        <v>600</v>
      </c>
      <c r="R37" s="54" t="n">
        <v>600</v>
      </c>
      <c r="S37" s="54" t="n">
        <v>600</v>
      </c>
    </row>
    <row r="38" customFormat="false" ht="15.75" hidden="false" customHeight="true" outlineLevel="0" collapsed="false">
      <c r="B38" s="26" t="s">
        <v>53</v>
      </c>
      <c r="C38" s="16"/>
      <c r="D38" s="15"/>
      <c r="E38" s="16" t="n">
        <v>4000</v>
      </c>
      <c r="F38" s="28" t="n">
        <v>4000</v>
      </c>
      <c r="G38" s="28" t="n">
        <v>4000</v>
      </c>
      <c r="H38" s="28" t="n">
        <v>4000</v>
      </c>
      <c r="I38" s="28" t="n">
        <v>4000</v>
      </c>
      <c r="J38" s="16" t="n">
        <v>4000</v>
      </c>
      <c r="K38" s="54" t="n">
        <v>4000</v>
      </c>
      <c r="L38" s="54" t="n">
        <v>4000</v>
      </c>
      <c r="M38" s="54" t="n">
        <v>4000</v>
      </c>
      <c r="N38" s="54" t="n">
        <v>4000</v>
      </c>
      <c r="O38" s="54" t="n">
        <v>4000</v>
      </c>
      <c r="P38" s="54" t="n">
        <v>4000</v>
      </c>
      <c r="Q38" s="54" t="n">
        <v>4000</v>
      </c>
      <c r="R38" s="54" t="n">
        <v>4000</v>
      </c>
      <c r="S38" s="54" t="n">
        <v>4000</v>
      </c>
    </row>
    <row r="39" customFormat="false" ht="15.75" hidden="true" customHeight="true" outlineLevel="0" collapsed="false">
      <c r="B39" s="57" t="s">
        <v>54</v>
      </c>
      <c r="C39" s="28"/>
      <c r="D39" s="15"/>
      <c r="E39" s="17"/>
      <c r="F39" s="60" t="n">
        <f aca="false">1786.95+55+395.4</f>
        <v>2237.35</v>
      </c>
      <c r="G39" s="17"/>
      <c r="H39" s="60"/>
      <c r="I39" s="60"/>
      <c r="J39" s="17"/>
      <c r="K39" s="17"/>
      <c r="L39" s="17"/>
      <c r="M39" s="17"/>
      <c r="N39" s="60"/>
      <c r="O39" s="60"/>
      <c r="P39" s="60"/>
      <c r="Q39" s="60"/>
      <c r="R39" s="60"/>
      <c r="S39" s="60"/>
    </row>
    <row r="40" customFormat="false" ht="15.75" hidden="true" customHeight="true" outlineLevel="0" collapsed="false">
      <c r="B40" s="57" t="s">
        <v>55</v>
      </c>
      <c r="C40" s="28"/>
      <c r="D40" s="15"/>
      <c r="E40" s="17"/>
      <c r="F40" s="60" t="n">
        <v>342</v>
      </c>
      <c r="G40" s="17"/>
      <c r="H40" s="60"/>
      <c r="I40" s="60"/>
      <c r="J40" s="17"/>
      <c r="K40" s="17"/>
      <c r="L40" s="17"/>
      <c r="M40" s="17"/>
      <c r="N40" s="60"/>
      <c r="O40" s="60"/>
      <c r="P40" s="60"/>
      <c r="Q40" s="60"/>
      <c r="R40" s="60"/>
      <c r="S40" s="60"/>
    </row>
    <row r="41" customFormat="false" ht="15.75" hidden="false" customHeight="true" outlineLevel="0" collapsed="false">
      <c r="C41" s="1"/>
      <c r="D41" s="62"/>
      <c r="E41" s="1"/>
      <c r="F41" s="1"/>
      <c r="G41" s="1"/>
      <c r="H41" s="62"/>
      <c r="I41" s="62"/>
      <c r="J41" s="1"/>
      <c r="K41" s="1"/>
      <c r="L41" s="1"/>
      <c r="M41" s="1"/>
      <c r="N41" s="62"/>
      <c r="O41" s="62"/>
      <c r="P41" s="62"/>
      <c r="Q41" s="62" t="s">
        <v>56</v>
      </c>
      <c r="R41" s="62"/>
      <c r="S41" s="62"/>
    </row>
    <row r="42" customFormat="false" ht="15.75" hidden="false" customHeight="true" outlineLevel="0" collapsed="false">
      <c r="B42" s="63" t="s">
        <v>57</v>
      </c>
      <c r="C42" s="64" t="s">
        <v>58</v>
      </c>
      <c r="D42" s="7"/>
      <c r="E42" s="65" t="n">
        <f aca="false">SUM(E43:E57)</f>
        <v>208510</v>
      </c>
      <c r="F42" s="65" t="n">
        <f aca="false">SUM(F43:F57)</f>
        <v>145894.87</v>
      </c>
      <c r="G42" s="65" t="n">
        <f aca="false">SUM(G43:G57)</f>
        <v>94776.15</v>
      </c>
      <c r="H42" s="25" t="n">
        <f aca="false">SUM(H43:H57)</f>
        <v>105903.93</v>
      </c>
      <c r="I42" s="25" t="n">
        <f aca="false">SUM(I43:I57)</f>
        <v>135730.9</v>
      </c>
      <c r="J42" s="65" t="n">
        <f aca="false">SUM(J43:J57)</f>
        <v>233368.79</v>
      </c>
      <c r="K42" s="65" t="n">
        <f aca="false">SUM(K43:K57)</f>
        <v>227714.32</v>
      </c>
      <c r="L42" s="65" t="n">
        <f aca="false">SUM(L43:L57)</f>
        <v>230861.8</v>
      </c>
      <c r="M42" s="65" t="n">
        <f aca="false">SUM(M43:M57)</f>
        <v>147428.4</v>
      </c>
      <c r="N42" s="25" t="n">
        <f aca="false">SUM(N43:N57)</f>
        <v>143771.29</v>
      </c>
      <c r="O42" s="25" t="n">
        <f aca="false">SUM(O43:O57)</f>
        <v>100986.3</v>
      </c>
      <c r="P42" s="25" t="n">
        <f aca="false">SUM(P43:P57)</f>
        <v>193289.81</v>
      </c>
      <c r="Q42" s="25" t="n">
        <f aca="false">SUM(Q43:Q57)</f>
        <v>247027.99</v>
      </c>
      <c r="R42" s="25" t="n">
        <f aca="false">SUM(R43:R57)</f>
        <v>291257.91</v>
      </c>
      <c r="S42" s="25" t="n">
        <f aca="false">SUM(S43:S57)</f>
        <v>262418.29</v>
      </c>
    </row>
    <row r="43" customFormat="false" ht="15.75" hidden="false" customHeight="true" outlineLevel="0" collapsed="false">
      <c r="B43" s="26" t="s">
        <v>59</v>
      </c>
      <c r="C43" s="16" t="s">
        <v>60</v>
      </c>
      <c r="D43" s="15"/>
      <c r="E43" s="16" t="n">
        <v>3000</v>
      </c>
      <c r="F43" s="28" t="n">
        <f aca="false">1073.8*2</f>
        <v>2147.6</v>
      </c>
      <c r="G43" s="28" t="n">
        <f aca="false">1073.8*2</f>
        <v>2147.6</v>
      </c>
      <c r="H43" s="28" t="n">
        <v>2147</v>
      </c>
      <c r="I43" s="28" t="n">
        <f aca="false">1073.8*2</f>
        <v>2147.6</v>
      </c>
      <c r="J43" s="28" t="n">
        <f aca="false">1073.8*2</f>
        <v>2147.6</v>
      </c>
      <c r="K43" s="54" t="n">
        <f aca="false">1074.11+1074.11</f>
        <v>2148.22</v>
      </c>
      <c r="L43" s="54" t="n">
        <f aca="false">1230.9+1230.9</f>
        <v>2461.8</v>
      </c>
      <c r="M43" s="54" t="n">
        <f aca="false">1073.8+1073.8</f>
        <v>2147.6</v>
      </c>
      <c r="N43" s="54" t="n">
        <f aca="false">1073.8+1073.8</f>
        <v>2147.6</v>
      </c>
      <c r="O43" s="54" t="n">
        <f aca="false">1074.69+1074.69</f>
        <v>2149.38</v>
      </c>
      <c r="P43" s="54" t="n">
        <f aca="false">1075.76+1075.76</f>
        <v>2151.52</v>
      </c>
      <c r="Q43" s="54" t="n">
        <f aca="false">1075.76+1075.76</f>
        <v>2151.52</v>
      </c>
      <c r="R43" s="54" t="n">
        <f aca="false">1214.38*2</f>
        <v>2428.76</v>
      </c>
      <c r="S43" s="54" t="n">
        <f aca="false">1463.53*2</f>
        <v>2927.06</v>
      </c>
    </row>
    <row r="44" customFormat="false" ht="15" hidden="false" customHeight="true" outlineLevel="0" collapsed="false">
      <c r="B44" s="26" t="s">
        <v>61</v>
      </c>
      <c r="C44" s="60" t="s">
        <v>62</v>
      </c>
      <c r="D44" s="15"/>
      <c r="E44" s="28" t="n">
        <f aca="false">E4*0.63</f>
        <v>195300</v>
      </c>
      <c r="F44" s="28" t="n">
        <f aca="false">F4*0.63</f>
        <v>134369.55</v>
      </c>
      <c r="G44" s="28" t="n">
        <f aca="false">G3*0.64</f>
        <v>86570.88</v>
      </c>
      <c r="H44" s="28" t="n">
        <f aca="false">H3*0.64</f>
        <v>97834.24</v>
      </c>
      <c r="I44" s="28" t="n">
        <f aca="false">36448.35+27712.17+37420+25000</f>
        <v>126580.52</v>
      </c>
      <c r="J44" s="16" t="n">
        <f aca="false">J3*0.64</f>
        <v>218852.48</v>
      </c>
      <c r="K44" s="54" t="n">
        <f aca="false">93048.96+119683.76</f>
        <v>212732.72</v>
      </c>
      <c r="L44" s="54" t="n">
        <f aca="false">128479+93048.96</f>
        <v>221527.96</v>
      </c>
      <c r="M44" s="54" t="n">
        <f aca="false">78059.18+53730</f>
        <v>131789.18</v>
      </c>
      <c r="N44" s="54" t="n">
        <f aca="false">37035.17+95987.19</f>
        <v>133022.36</v>
      </c>
      <c r="O44" s="54" t="n">
        <f aca="false">53730.07+37035.17</f>
        <v>90765.24</v>
      </c>
      <c r="P44" s="54" t="n">
        <f aca="false">95997.17+83983.34</f>
        <v>179980.51</v>
      </c>
      <c r="Q44" s="54" t="n">
        <f aca="false">84087.22+127239+3000</f>
        <v>214326.22</v>
      </c>
      <c r="R44" s="66" t="n">
        <f aca="false">141053.7+500+119187</f>
        <v>260740.7</v>
      </c>
      <c r="S44" s="54" t="n">
        <f aca="false">122580+110441+500</f>
        <v>233521</v>
      </c>
    </row>
    <row r="45" customFormat="false" ht="15.75" hidden="true" customHeight="true" outlineLevel="0" collapsed="false">
      <c r="B45" s="26" t="s">
        <v>63</v>
      </c>
      <c r="C45" s="17"/>
      <c r="D45" s="15"/>
      <c r="E45" s="16"/>
      <c r="F45" s="16"/>
      <c r="G45" s="28"/>
      <c r="H45" s="28"/>
      <c r="I45" s="28"/>
      <c r="J45" s="16"/>
      <c r="K45" s="16"/>
      <c r="L45" s="16"/>
      <c r="M45" s="16"/>
      <c r="N45" s="28"/>
      <c r="O45" s="28"/>
      <c r="P45" s="28"/>
      <c r="Q45" s="28"/>
      <c r="R45" s="28"/>
      <c r="S45" s="28"/>
    </row>
    <row r="46" customFormat="false" ht="15.75" hidden="false" customHeight="true" outlineLevel="0" collapsed="false">
      <c r="B46" s="26" t="s">
        <v>64</v>
      </c>
      <c r="C46" s="17"/>
      <c r="D46" s="15"/>
      <c r="E46" s="16"/>
      <c r="F46" s="16"/>
      <c r="G46" s="28"/>
      <c r="H46" s="28"/>
      <c r="I46" s="28"/>
      <c r="J46" s="16"/>
      <c r="K46" s="16"/>
      <c r="L46" s="16"/>
      <c r="M46" s="16"/>
      <c r="N46" s="28"/>
      <c r="O46" s="28"/>
      <c r="P46" s="28"/>
      <c r="Q46" s="54" t="n">
        <v>16000</v>
      </c>
      <c r="R46" s="54" t="n">
        <v>16000</v>
      </c>
      <c r="S46" s="54" t="n">
        <v>16000</v>
      </c>
    </row>
    <row r="47" customFormat="false" ht="15.75" hidden="true" customHeight="true" outlineLevel="0" collapsed="false">
      <c r="B47" s="26" t="s">
        <v>65</v>
      </c>
      <c r="C47" s="16"/>
      <c r="D47" s="15"/>
      <c r="E47" s="16" t="n">
        <v>100</v>
      </c>
      <c r="F47" s="16"/>
      <c r="G47" s="28"/>
      <c r="H47" s="28"/>
      <c r="I47" s="28"/>
      <c r="J47" s="16"/>
      <c r="K47" s="16"/>
      <c r="L47" s="16"/>
      <c r="M47" s="16"/>
      <c r="N47" s="28"/>
      <c r="O47" s="28"/>
      <c r="P47" s="28"/>
      <c r="Q47" s="28"/>
      <c r="R47" s="28"/>
      <c r="S47" s="28"/>
    </row>
    <row r="48" customFormat="false" ht="15.75" hidden="false" customHeight="true" outlineLevel="0" collapsed="false">
      <c r="B48" s="26" t="s">
        <v>66</v>
      </c>
      <c r="C48" s="16"/>
      <c r="D48" s="15"/>
      <c r="E48" s="16" t="n">
        <f aca="false">E3*0.03</f>
        <v>9300</v>
      </c>
      <c r="F48" s="16" t="n">
        <f aca="false">F3*0.03</f>
        <v>6398.55</v>
      </c>
      <c r="G48" s="28" t="n">
        <f aca="false">G3*0.03</f>
        <v>4058.01</v>
      </c>
      <c r="H48" s="28" t="n">
        <f aca="false">H3*0.03</f>
        <v>4585.98</v>
      </c>
      <c r="I48" s="28" t="n">
        <v>4530.48</v>
      </c>
      <c r="J48" s="16" t="n">
        <f aca="false">J3*0.03</f>
        <v>10258.71</v>
      </c>
      <c r="K48" s="54" t="n">
        <f aca="false">K3*0.03</f>
        <v>8175.18</v>
      </c>
      <c r="L48" s="54" t="n">
        <f aca="false">L3*0.03</f>
        <v>6609.06</v>
      </c>
      <c r="M48" s="54" t="n">
        <f aca="false">M3*0.03</f>
        <v>6303.96</v>
      </c>
      <c r="N48" s="54" t="n">
        <v>6306.96</v>
      </c>
      <c r="O48" s="54" t="n">
        <v>7268.79</v>
      </c>
      <c r="P48" s="54" t="n">
        <v>8541.21</v>
      </c>
      <c r="Q48" s="54" t="n">
        <v>12543.73</v>
      </c>
      <c r="R48" s="54" t="n">
        <v>10414</v>
      </c>
      <c r="S48" s="54" t="n">
        <f aca="false">S3*0.03</f>
        <v>8961.12</v>
      </c>
    </row>
    <row r="49" customFormat="false" ht="15.75" hidden="false" customHeight="true" outlineLevel="0" collapsed="false">
      <c r="B49" s="26" t="s">
        <v>67</v>
      </c>
      <c r="C49" s="16"/>
      <c r="D49" s="15"/>
      <c r="E49" s="16" t="n">
        <v>210</v>
      </c>
      <c r="F49" s="28" t="n">
        <f aca="false">78.76+232.18+13+210+270.11+248.92</f>
        <v>1052.97</v>
      </c>
      <c r="G49" s="28"/>
      <c r="H49" s="28" t="n">
        <v>154.48</v>
      </c>
      <c r="I49" s="28" t="n">
        <f aca="false">166.3+217.17+106+240.26</f>
        <v>729.73</v>
      </c>
      <c r="J49" s="16" t="n">
        <v>210</v>
      </c>
      <c r="K49" s="54" t="n">
        <v>130</v>
      </c>
      <c r="L49" s="16"/>
      <c r="M49" s="54" t="n">
        <f aca="false">239.57+257.84+256.5</f>
        <v>753.91</v>
      </c>
      <c r="N49" s="54" t="n">
        <f aca="false">252.67+375+146.5+182.86</f>
        <v>957.03</v>
      </c>
      <c r="O49" s="28"/>
      <c r="P49" s="54" t="n">
        <f aca="false">210.98+241.62+330.27+67.83+257.7+151+82.11</f>
        <v>1341.51</v>
      </c>
      <c r="Q49" s="54" t="n">
        <f aca="false">58+16+178.9+216.81</f>
        <v>469.71</v>
      </c>
      <c r="R49" s="54" t="n">
        <f aca="false">60+244+310+125</f>
        <v>739</v>
      </c>
      <c r="S49" s="54" t="n">
        <f aca="false">106+74.1+145.98</f>
        <v>326.08</v>
      </c>
    </row>
    <row r="50" customFormat="false" ht="15.75" hidden="false" customHeight="true" outlineLevel="0" collapsed="false">
      <c r="B50" s="26" t="s">
        <v>68</v>
      </c>
      <c r="C50" s="17"/>
      <c r="D50" s="15"/>
      <c r="E50" s="17" t="n">
        <v>200</v>
      </c>
      <c r="F50" s="60" t="n">
        <f aca="false">287.85+271.75</f>
        <v>559.6</v>
      </c>
      <c r="G50" s="60" t="n">
        <f aca="false">314.85+175</f>
        <v>489.85</v>
      </c>
      <c r="H50" s="60" t="n">
        <f aca="false">334.25+125</f>
        <v>459.25</v>
      </c>
      <c r="I50" s="60" t="n">
        <v>224.59</v>
      </c>
      <c r="J50" s="17" t="n">
        <v>500</v>
      </c>
      <c r="K50" s="61" t="n">
        <f aca="false">125+163.64</f>
        <v>288.64</v>
      </c>
      <c r="L50" s="61" t="n">
        <v>125</v>
      </c>
      <c r="M50" s="61" t="n">
        <v>125</v>
      </c>
      <c r="N50" s="61" t="n">
        <v>125</v>
      </c>
      <c r="O50" s="60"/>
      <c r="P50" s="60"/>
      <c r="Q50" s="61" t="n">
        <v>127.5</v>
      </c>
      <c r="R50" s="61" t="n">
        <f aca="false">129+142.25</f>
        <v>271.25</v>
      </c>
      <c r="S50" s="61" t="n">
        <f aca="false">131+25.45</f>
        <v>156.45</v>
      </c>
    </row>
    <row r="51" customFormat="false" ht="15.75" hidden="false" customHeight="true" outlineLevel="0" collapsed="false">
      <c r="B51" s="26" t="s">
        <v>69</v>
      </c>
      <c r="C51" s="53"/>
      <c r="D51" s="15"/>
      <c r="E51" s="16" t="n">
        <v>200</v>
      </c>
      <c r="F51" s="28" t="n">
        <v>200</v>
      </c>
      <c r="G51" s="28"/>
      <c r="H51" s="28"/>
      <c r="I51" s="28"/>
      <c r="J51" s="16" t="n">
        <v>200</v>
      </c>
      <c r="K51" s="16"/>
      <c r="L51" s="16"/>
      <c r="M51" s="16"/>
      <c r="N51" s="28"/>
      <c r="O51" s="28"/>
      <c r="P51" s="28"/>
      <c r="Q51" s="28"/>
      <c r="R51" s="28"/>
      <c r="S51" s="28"/>
    </row>
    <row r="52" customFormat="false" ht="15.75" hidden="false" customHeight="true" outlineLevel="0" collapsed="false">
      <c r="B52" s="26" t="s">
        <v>70</v>
      </c>
      <c r="C52" s="53"/>
      <c r="D52" s="15"/>
      <c r="E52" s="16" t="n">
        <v>200</v>
      </c>
      <c r="F52" s="28" t="n">
        <f aca="false">3+30.3+30.3+100+3</f>
        <v>166.6</v>
      </c>
      <c r="G52" s="28" t="n">
        <f aca="false">6+30.3+3</f>
        <v>39.3</v>
      </c>
      <c r="H52" s="28" t="n">
        <f aca="false">3+3+31.98+100+3</f>
        <v>140.98</v>
      </c>
      <c r="I52" s="28" t="n">
        <f aca="false">6+31.98+100+3+3</f>
        <v>143.98</v>
      </c>
      <c r="J52" s="16" t="n">
        <v>100</v>
      </c>
      <c r="K52" s="54" t="n">
        <f aca="false">0.06+0.03+9.19+6+9.19+9+0.94+31.98+3</f>
        <v>69.39</v>
      </c>
      <c r="L52" s="54" t="n">
        <f aca="false">3+31.98+3</f>
        <v>37.98</v>
      </c>
      <c r="M52" s="54" t="n">
        <f aca="false">3+31.98+3</f>
        <v>37.98</v>
      </c>
      <c r="N52" s="54" t="n">
        <f aca="false">3+31.98+100+100+3</f>
        <v>237.98</v>
      </c>
      <c r="O52" s="54" t="n">
        <f aca="false">3+3+114.67+31.98+6+100</f>
        <v>258.65</v>
      </c>
      <c r="P52" s="54" t="n">
        <f aca="false">3+3+3</f>
        <v>9</v>
      </c>
      <c r="Q52" s="54" t="n">
        <f aca="false">52.4+31.98+3+3</f>
        <v>90.38</v>
      </c>
      <c r="R52" s="54" t="n">
        <f aca="false">3+3+25.2</f>
        <v>31.2</v>
      </c>
      <c r="S52" s="54" t="n">
        <f aca="false">31.98+3+100+3</f>
        <v>137.98</v>
      </c>
    </row>
    <row r="53" customFormat="false" ht="15.75" hidden="true" customHeight="true" outlineLevel="0" collapsed="false">
      <c r="B53" s="26" t="s">
        <v>71</v>
      </c>
      <c r="C53" s="53"/>
      <c r="D53" s="15"/>
      <c r="E53" s="16"/>
      <c r="F53" s="28"/>
      <c r="G53" s="28"/>
      <c r="H53" s="28"/>
      <c r="I53" s="28"/>
      <c r="J53" s="16"/>
      <c r="K53" s="16"/>
      <c r="L53" s="16"/>
      <c r="M53" s="16"/>
      <c r="N53" s="28"/>
      <c r="O53" s="28"/>
      <c r="P53" s="28"/>
      <c r="Q53" s="28"/>
      <c r="R53" s="28"/>
      <c r="S53" s="28"/>
    </row>
    <row r="54" customFormat="false" ht="15.75" hidden="false" customHeight="true" outlineLevel="0" collapsed="false">
      <c r="B54" s="26" t="s">
        <v>72</v>
      </c>
      <c r="C54" s="53"/>
      <c r="D54" s="15"/>
      <c r="E54" s="16"/>
      <c r="F54" s="28" t="n">
        <f aca="false">500+500</f>
        <v>1000</v>
      </c>
      <c r="G54" s="28" t="n">
        <v>500</v>
      </c>
      <c r="H54" s="28" t="n">
        <v>500</v>
      </c>
      <c r="I54" s="28" t="n">
        <v>500</v>
      </c>
      <c r="J54" s="16" t="n">
        <v>500</v>
      </c>
      <c r="K54" s="16"/>
      <c r="L54" s="16"/>
      <c r="M54" s="16"/>
      <c r="N54" s="54" t="n">
        <v>164.79</v>
      </c>
      <c r="O54" s="28"/>
      <c r="P54" s="28"/>
      <c r="Q54" s="28"/>
      <c r="R54" s="28"/>
      <c r="S54" s="28"/>
    </row>
    <row r="55" customFormat="false" ht="15.75" hidden="false" customHeight="true" outlineLevel="0" collapsed="false">
      <c r="B55" s="26" t="s">
        <v>73</v>
      </c>
      <c r="C55" s="53"/>
      <c r="D55" s="15"/>
      <c r="E55" s="16"/>
      <c r="F55" s="28"/>
      <c r="G55" s="28" t="n">
        <f aca="false">160</f>
        <v>160</v>
      </c>
      <c r="H55" s="28"/>
      <c r="I55" s="28"/>
      <c r="J55" s="16" t="n">
        <v>300</v>
      </c>
      <c r="K55" s="16"/>
      <c r="L55" s="16"/>
      <c r="M55" s="16"/>
      <c r="N55" s="28"/>
      <c r="O55" s="54" t="n">
        <v>150</v>
      </c>
      <c r="P55" s="54" t="n">
        <v>150</v>
      </c>
      <c r="Q55" s="54" t="n">
        <v>150</v>
      </c>
      <c r="R55" s="54" t="n">
        <v>150</v>
      </c>
      <c r="S55" s="28" t="n">
        <v>150</v>
      </c>
    </row>
    <row r="56" customFormat="false" ht="15.75" hidden="false" customHeight="true" outlineLevel="0" collapsed="false">
      <c r="B56" s="26" t="s">
        <v>74</v>
      </c>
      <c r="C56" s="53"/>
      <c r="D56" s="15"/>
      <c r="E56" s="16"/>
      <c r="F56" s="28"/>
      <c r="G56" s="28"/>
      <c r="H56" s="28"/>
      <c r="I56" s="28"/>
      <c r="J56" s="16"/>
      <c r="K56" s="16"/>
      <c r="L56" s="16"/>
      <c r="M56" s="16"/>
      <c r="N56" s="28"/>
      <c r="O56" s="54"/>
      <c r="P56" s="54" t="n">
        <v>8.1</v>
      </c>
      <c r="R56" s="28"/>
      <c r="S56" s="28"/>
    </row>
    <row r="57" customFormat="false" ht="15.75" hidden="false" customHeight="true" outlineLevel="0" collapsed="false">
      <c r="B57" s="26" t="s">
        <v>75</v>
      </c>
      <c r="C57" s="53"/>
      <c r="D57" s="15"/>
      <c r="E57" s="16"/>
      <c r="F57" s="16"/>
      <c r="G57" s="28" t="n">
        <f aca="false">100+100+610.51</f>
        <v>810.51</v>
      </c>
      <c r="H57" s="28" t="n">
        <v>82</v>
      </c>
      <c r="I57" s="28" t="n">
        <f aca="false">450+424</f>
        <v>874</v>
      </c>
      <c r="J57" s="16" t="n">
        <v>300</v>
      </c>
      <c r="K57" s="54" t="n">
        <f aca="false">110+110+2219.37+100+1630.8</f>
        <v>4170.17</v>
      </c>
      <c r="L57" s="54" t="n">
        <v>100</v>
      </c>
      <c r="M57" s="54" t="n">
        <f aca="false">100+5870.77+300</f>
        <v>6270.77</v>
      </c>
      <c r="N57" s="54" t="n">
        <f aca="false">189+395.4+225.17</f>
        <v>809.57</v>
      </c>
      <c r="O57" s="54" t="n">
        <f aca="false">149.94+244.3</f>
        <v>394.24</v>
      </c>
      <c r="P57" s="54" t="n">
        <f aca="false">31.98+100+85.98+890</f>
        <v>1107.96</v>
      </c>
      <c r="Q57" s="54" t="n">
        <f aca="false">63.93+100+55+750+200</f>
        <v>1168.93</v>
      </c>
      <c r="R57" s="54" t="n">
        <f aca="false">20+210+110+20+100+3+20</f>
        <v>483</v>
      </c>
      <c r="S57" s="54" t="n">
        <f aca="false">39.9+7.7+11+150+30</f>
        <v>238.6</v>
      </c>
    </row>
    <row r="58" customFormat="false" ht="15.75" hidden="false" customHeight="true" outlineLevel="0" collapsed="false">
      <c r="C58" s="1"/>
      <c r="D58" s="62"/>
      <c r="E58" s="1"/>
      <c r="F58" s="1"/>
      <c r="G58" s="1"/>
      <c r="H58" s="1"/>
      <c r="I58" s="1"/>
      <c r="N58" s="67"/>
      <c r="Q58" s="67"/>
      <c r="R58" s="67"/>
    </row>
    <row r="59" customFormat="false" ht="15.75" hidden="false" customHeight="true" outlineLevel="0" collapsed="false">
      <c r="C59" s="1"/>
      <c r="D59" s="62"/>
      <c r="E59" s="1"/>
      <c r="F59" s="1"/>
      <c r="G59" s="1"/>
      <c r="H59" s="1"/>
      <c r="I59" s="1"/>
      <c r="N59" s="67"/>
      <c r="Q59" s="67"/>
      <c r="R59" s="67"/>
    </row>
    <row r="60" customFormat="false" ht="15.75" hidden="false" customHeight="true" outlineLevel="0" collapsed="false">
      <c r="C60" s="1"/>
      <c r="D60" s="1"/>
      <c r="E60" s="1"/>
      <c r="F60" s="1"/>
      <c r="G60" s="1"/>
      <c r="Q60" s="67"/>
      <c r="R60" s="67"/>
    </row>
    <row r="61" customFormat="false" ht="15.75" hidden="false" customHeight="true" outlineLevel="0" collapsed="false">
      <c r="B61" s="68" t="s">
        <v>76</v>
      </c>
      <c r="C61" s="1"/>
      <c r="D61" s="1"/>
      <c r="E61" s="1"/>
      <c r="F61" s="1"/>
      <c r="G61" s="1"/>
      <c r="Q61" s="67"/>
      <c r="R61" s="67"/>
    </row>
    <row r="62" customFormat="false" ht="15.75" hidden="false" customHeight="true" outlineLevel="0" collapsed="false">
      <c r="B62" s="69" t="n">
        <f aca="false">15550+156220</f>
        <v>171770</v>
      </c>
      <c r="C62" s="1"/>
      <c r="D62" s="1"/>
      <c r="E62" s="1"/>
      <c r="F62" s="1"/>
      <c r="G62" s="1"/>
      <c r="Q62" s="67"/>
      <c r="R62" s="67"/>
    </row>
    <row r="63" customFormat="false" ht="15.75" hidden="false" customHeight="true" outlineLevel="0" collapsed="false">
      <c r="C63" s="1"/>
      <c r="D63" s="1"/>
      <c r="E63" s="1"/>
      <c r="F63" s="1"/>
      <c r="G63" s="1"/>
      <c r="Q63" s="67"/>
      <c r="R63" s="67"/>
    </row>
    <row r="64" customFormat="false" ht="15.75" hidden="false" customHeight="true" outlineLevel="0" collapsed="false">
      <c r="B64" s="70" t="s">
        <v>77</v>
      </c>
      <c r="C64" s="1"/>
      <c r="D64" s="1"/>
      <c r="E64" s="1"/>
      <c r="F64" s="1"/>
      <c r="G64" s="1"/>
      <c r="Q64" s="67"/>
      <c r="R64" s="67"/>
    </row>
    <row r="65" customFormat="false" ht="15.75" hidden="false" customHeight="true" outlineLevel="0" collapsed="false">
      <c r="B65" s="69" t="n">
        <f aca="false">243519.5+97304</f>
        <v>340823.5</v>
      </c>
      <c r="C65" s="1"/>
      <c r="D65" s="1"/>
      <c r="E65" s="1"/>
      <c r="F65" s="1"/>
      <c r="G65" s="1"/>
      <c r="Q65" s="67"/>
      <c r="R65" s="67"/>
    </row>
    <row r="66" customFormat="false" ht="15.75" hidden="false" customHeight="true" outlineLevel="0" collapsed="false">
      <c r="C66" s="1"/>
      <c r="D66" s="1"/>
      <c r="E66" s="1"/>
      <c r="F66" s="1"/>
      <c r="G66" s="1"/>
      <c r="Q66" s="67"/>
      <c r="R66" s="67"/>
    </row>
    <row r="67" customFormat="false" ht="15.75" hidden="false" customHeight="true" outlineLevel="0" collapsed="false">
      <c r="B67" s="70" t="s">
        <v>78</v>
      </c>
      <c r="C67" s="1"/>
      <c r="D67" s="1"/>
      <c r="E67" s="1"/>
      <c r="F67" s="1"/>
      <c r="G67" s="1"/>
      <c r="Q67" s="67"/>
      <c r="R67" s="67"/>
    </row>
    <row r="68" customFormat="false" ht="15.75" hidden="false" customHeight="true" outlineLevel="0" collapsed="false">
      <c r="B68" s="71" t="n">
        <f aca="false">55000+119187+158018+60000+20000</f>
        <v>412205</v>
      </c>
      <c r="D68" s="1"/>
      <c r="E68" s="1"/>
      <c r="F68" s="1"/>
      <c r="G68" s="1"/>
    </row>
    <row r="69" customFormat="false" ht="15.75" hidden="false" customHeight="true" outlineLevel="0" collapsed="false">
      <c r="C69" s="1"/>
      <c r="D69" s="1"/>
      <c r="E69" s="1"/>
      <c r="F69" s="1"/>
      <c r="G69" s="1"/>
    </row>
    <row r="70" customFormat="false" ht="15.75" hidden="false" customHeight="true" outlineLevel="0" collapsed="false">
      <c r="C70" s="1"/>
      <c r="D70" s="1"/>
      <c r="E70" s="1"/>
      <c r="F70" s="1"/>
      <c r="G70" s="1"/>
    </row>
    <row r="71" customFormat="false" ht="15.75" hidden="false" customHeight="true" outlineLevel="0" collapsed="false">
      <c r="B71" s="72" t="s">
        <v>79</v>
      </c>
      <c r="C71" s="1"/>
      <c r="D71" s="1"/>
      <c r="E71" s="1"/>
      <c r="F71" s="1"/>
      <c r="G71" s="1"/>
    </row>
    <row r="72" customFormat="false" ht="15.75" hidden="false" customHeight="true" outlineLevel="0" collapsed="false">
      <c r="B72" s="73" t="n">
        <f aca="false">B62+B65</f>
        <v>512593.5</v>
      </c>
      <c r="C72" s="53" t="s">
        <v>80</v>
      </c>
      <c r="D72" s="1"/>
      <c r="E72" s="1"/>
      <c r="F72" s="1"/>
      <c r="G72" s="1"/>
    </row>
    <row r="73" customFormat="false" ht="15.75" hidden="false" customHeight="true" outlineLevel="0" collapsed="false">
      <c r="B73" s="73" t="n">
        <f aca="false">B68</f>
        <v>412205</v>
      </c>
      <c r="C73" s="53" t="s">
        <v>81</v>
      </c>
      <c r="D73" s="1"/>
      <c r="E73" s="1"/>
      <c r="F73" s="1"/>
      <c r="G73" s="1"/>
    </row>
    <row r="74" customFormat="false" ht="15.75" hidden="false" customHeight="true" outlineLevel="0" collapsed="false">
      <c r="B74" s="73" t="n">
        <f aca="false">B72-B73</f>
        <v>100388.5</v>
      </c>
      <c r="C74" s="53" t="s">
        <v>82</v>
      </c>
      <c r="D74" s="1"/>
      <c r="E74" s="1"/>
      <c r="F74" s="1"/>
      <c r="G74" s="1"/>
    </row>
    <row r="75" customFormat="false" ht="15.75" hidden="false" customHeight="true" outlineLevel="0" collapsed="false">
      <c r="C75" s="1"/>
      <c r="D75" s="1"/>
      <c r="E75" s="1"/>
      <c r="F75" s="1"/>
      <c r="G75" s="1"/>
    </row>
    <row r="76" customFormat="false" ht="15.75" hidden="false" customHeight="true" outlineLevel="0" collapsed="false">
      <c r="C76" s="1"/>
      <c r="D76" s="1"/>
      <c r="E76" s="1"/>
      <c r="F76" s="1"/>
      <c r="G76" s="1"/>
    </row>
    <row r="77" customFormat="false" ht="15.75" hidden="false" customHeight="true" outlineLevel="0" collapsed="false">
      <c r="C77" s="1"/>
      <c r="D77" s="1"/>
      <c r="E77" s="1"/>
      <c r="F77" s="1"/>
      <c r="G77" s="1"/>
    </row>
    <row r="78" customFormat="false" ht="15.75" hidden="false" customHeight="true" outlineLevel="0" collapsed="false">
      <c r="C78" s="1"/>
      <c r="D78" s="1"/>
      <c r="E78" s="1"/>
      <c r="F78" s="1"/>
      <c r="G78" s="1"/>
    </row>
    <row r="79" customFormat="false" ht="15.75" hidden="false" customHeight="true" outlineLevel="0" collapsed="false">
      <c r="C79" s="1"/>
      <c r="D79" s="1"/>
      <c r="E79" s="1"/>
      <c r="F79" s="1"/>
      <c r="G79" s="1"/>
    </row>
    <row r="80" customFormat="false" ht="15.75" hidden="false" customHeight="true" outlineLevel="0" collapsed="false">
      <c r="C80" s="1"/>
      <c r="D80" s="1"/>
      <c r="E80" s="1"/>
      <c r="F80" s="1"/>
      <c r="G80" s="1"/>
    </row>
    <row r="81" customFormat="false" ht="15.75" hidden="false" customHeight="true" outlineLevel="0" collapsed="false">
      <c r="C81" s="1"/>
      <c r="D81" s="1"/>
      <c r="E81" s="1"/>
      <c r="F81" s="1"/>
      <c r="G81" s="1"/>
    </row>
    <row r="82" customFormat="false" ht="15.75" hidden="false" customHeight="true" outlineLevel="0" collapsed="false">
      <c r="C82" s="1"/>
      <c r="D82" s="1"/>
      <c r="E82" s="1"/>
      <c r="F82" s="1"/>
      <c r="G82" s="1"/>
    </row>
    <row r="83" customFormat="false" ht="15.75" hidden="false" customHeight="true" outlineLevel="0" collapsed="false">
      <c r="C83" s="1"/>
      <c r="D83" s="1"/>
      <c r="E83" s="1"/>
      <c r="F83" s="1"/>
      <c r="G83" s="1"/>
    </row>
    <row r="84" customFormat="false" ht="15.75" hidden="false" customHeight="true" outlineLevel="0" collapsed="false">
      <c r="C84" s="1"/>
      <c r="D84" s="1"/>
      <c r="E84" s="1"/>
      <c r="F84" s="1"/>
      <c r="G84" s="1"/>
    </row>
    <row r="85" customFormat="false" ht="15.75" hidden="false" customHeight="true" outlineLevel="0" collapsed="false">
      <c r="C85" s="1"/>
      <c r="D85" s="1"/>
      <c r="E85" s="1"/>
      <c r="F85" s="1"/>
      <c r="G85" s="1"/>
    </row>
    <row r="86" customFormat="false" ht="15.75" hidden="false" customHeight="true" outlineLevel="0" collapsed="false">
      <c r="C86" s="1"/>
      <c r="D86" s="1"/>
      <c r="E86" s="1"/>
      <c r="F86" s="1"/>
      <c r="G86" s="1"/>
    </row>
    <row r="87" customFormat="false" ht="15.75" hidden="false" customHeight="true" outlineLevel="0" collapsed="false">
      <c r="C87" s="1"/>
      <c r="D87" s="1"/>
      <c r="E87" s="1"/>
      <c r="F87" s="1"/>
      <c r="G87" s="1"/>
    </row>
    <row r="88" customFormat="false" ht="15.75" hidden="false" customHeight="true" outlineLevel="0" collapsed="false">
      <c r="C88" s="1"/>
      <c r="D88" s="1"/>
      <c r="E88" s="1"/>
      <c r="F88" s="1"/>
      <c r="G88" s="1"/>
    </row>
    <row r="89" customFormat="false" ht="15.75" hidden="false" customHeight="true" outlineLevel="0" collapsed="false">
      <c r="C89" s="1"/>
      <c r="D89" s="1"/>
      <c r="E89" s="1"/>
      <c r="F89" s="1"/>
      <c r="G89" s="1"/>
    </row>
    <row r="90" customFormat="false" ht="15.75" hidden="false" customHeight="true" outlineLevel="0" collapsed="false">
      <c r="C90" s="1"/>
      <c r="D90" s="1"/>
      <c r="E90" s="1"/>
      <c r="F90" s="1"/>
      <c r="G90" s="1"/>
    </row>
    <row r="91" customFormat="false" ht="15.75" hidden="false" customHeight="true" outlineLevel="0" collapsed="false">
      <c r="C91" s="1"/>
      <c r="D91" s="1"/>
      <c r="E91" s="1"/>
      <c r="F91" s="1"/>
      <c r="G91" s="1"/>
    </row>
    <row r="92" customFormat="false" ht="15.75" hidden="false" customHeight="true" outlineLevel="0" collapsed="false">
      <c r="C92" s="1"/>
      <c r="D92" s="1"/>
      <c r="E92" s="1"/>
      <c r="F92" s="1"/>
      <c r="G92" s="1"/>
    </row>
    <row r="93" customFormat="false" ht="15.75" hidden="false" customHeight="true" outlineLevel="0" collapsed="false">
      <c r="C93" s="1"/>
      <c r="D93" s="1"/>
      <c r="E93" s="1"/>
      <c r="F93" s="1"/>
      <c r="G93" s="1"/>
    </row>
    <row r="94" customFormat="false" ht="15.75" hidden="false" customHeight="true" outlineLevel="0" collapsed="false">
      <c r="C94" s="1"/>
      <c r="D94" s="1"/>
      <c r="E94" s="1"/>
      <c r="F94" s="1"/>
      <c r="G94" s="1"/>
    </row>
    <row r="95" customFormat="false" ht="15.75" hidden="false" customHeight="true" outlineLevel="0" collapsed="false">
      <c r="C95" s="1"/>
      <c r="D95" s="1"/>
      <c r="E95" s="1"/>
      <c r="F95" s="1"/>
      <c r="G95" s="1"/>
    </row>
    <row r="96" customFormat="false" ht="15.75" hidden="false" customHeight="true" outlineLevel="0" collapsed="false">
      <c r="C96" s="1"/>
      <c r="D96" s="1"/>
      <c r="E96" s="1"/>
      <c r="F96" s="1"/>
      <c r="G96" s="1"/>
    </row>
    <row r="97" customFormat="false" ht="15.75" hidden="false" customHeight="true" outlineLevel="0" collapsed="false">
      <c r="C97" s="1"/>
      <c r="D97" s="1"/>
      <c r="E97" s="1"/>
      <c r="F97" s="1"/>
      <c r="G97" s="1"/>
    </row>
    <row r="98" customFormat="false" ht="15.75" hidden="false" customHeight="true" outlineLevel="0" collapsed="false">
      <c r="C98" s="1"/>
      <c r="D98" s="1"/>
      <c r="E98" s="1"/>
      <c r="F98" s="1"/>
      <c r="G98" s="1"/>
    </row>
    <row r="99" customFormat="false" ht="15.75" hidden="false" customHeight="true" outlineLevel="0" collapsed="false">
      <c r="C99" s="1"/>
      <c r="D99" s="1"/>
      <c r="E99" s="1"/>
      <c r="F99" s="1"/>
      <c r="G99" s="1"/>
    </row>
    <row r="100" customFormat="false" ht="15.75" hidden="false" customHeight="true" outlineLevel="0" collapsed="false">
      <c r="C100" s="1"/>
      <c r="D100" s="1"/>
      <c r="E100" s="1"/>
      <c r="F100" s="1"/>
      <c r="G100" s="1"/>
    </row>
    <row r="101" customFormat="false" ht="15.75" hidden="false" customHeight="true" outlineLevel="0" collapsed="false">
      <c r="C101" s="1"/>
      <c r="D101" s="1"/>
      <c r="E101" s="1"/>
      <c r="F101" s="1"/>
      <c r="G101" s="1"/>
    </row>
    <row r="102" customFormat="false" ht="15.75" hidden="false" customHeight="true" outlineLevel="0" collapsed="false">
      <c r="C102" s="1"/>
      <c r="D102" s="1"/>
      <c r="E102" s="1"/>
      <c r="F102" s="1"/>
      <c r="G102" s="1"/>
    </row>
    <row r="103" customFormat="false" ht="15.75" hidden="false" customHeight="true" outlineLevel="0" collapsed="false">
      <c r="C103" s="1"/>
      <c r="D103" s="1"/>
      <c r="E103" s="1"/>
      <c r="F103" s="1"/>
      <c r="G103" s="1"/>
    </row>
    <row r="104" customFormat="false" ht="15.75" hidden="false" customHeight="true" outlineLevel="0" collapsed="false">
      <c r="C104" s="1"/>
      <c r="D104" s="1"/>
      <c r="E104" s="1"/>
      <c r="F104" s="1"/>
      <c r="G104" s="1"/>
    </row>
    <row r="105" customFormat="false" ht="15.75" hidden="false" customHeight="true" outlineLevel="0" collapsed="false">
      <c r="C105" s="1"/>
      <c r="D105" s="1"/>
      <c r="E105" s="1"/>
      <c r="F105" s="1"/>
      <c r="G105" s="1"/>
    </row>
    <row r="106" customFormat="false" ht="15.75" hidden="false" customHeight="true" outlineLevel="0" collapsed="false">
      <c r="C106" s="1"/>
      <c r="D106" s="1"/>
      <c r="E106" s="1"/>
      <c r="F106" s="1"/>
      <c r="G106" s="1"/>
    </row>
    <row r="107" customFormat="false" ht="15.75" hidden="false" customHeight="true" outlineLevel="0" collapsed="false">
      <c r="C107" s="1"/>
      <c r="D107" s="1"/>
      <c r="E107" s="1"/>
      <c r="F107" s="1"/>
      <c r="G107" s="1"/>
    </row>
    <row r="108" customFormat="false" ht="15.75" hidden="false" customHeight="true" outlineLevel="0" collapsed="false">
      <c r="C108" s="1"/>
      <c r="D108" s="1"/>
      <c r="E108" s="1"/>
      <c r="F108" s="1"/>
      <c r="G108" s="1"/>
    </row>
    <row r="109" customFormat="false" ht="15.75" hidden="false" customHeight="true" outlineLevel="0" collapsed="false">
      <c r="C109" s="1"/>
      <c r="D109" s="1"/>
      <c r="E109" s="1"/>
      <c r="F109" s="1"/>
      <c r="G109" s="1"/>
    </row>
    <row r="110" customFormat="false" ht="15.75" hidden="false" customHeight="true" outlineLevel="0" collapsed="false">
      <c r="C110" s="1"/>
      <c r="D110" s="1"/>
      <c r="E110" s="1"/>
      <c r="F110" s="1"/>
      <c r="G110" s="1"/>
    </row>
    <row r="111" customFormat="false" ht="15.75" hidden="false" customHeight="true" outlineLevel="0" collapsed="false">
      <c r="C111" s="1"/>
      <c r="D111" s="1"/>
      <c r="E111" s="1"/>
      <c r="F111" s="1"/>
      <c r="G111" s="1"/>
    </row>
    <row r="112" customFormat="false" ht="15.75" hidden="false" customHeight="true" outlineLevel="0" collapsed="false">
      <c r="C112" s="1"/>
      <c r="D112" s="1"/>
      <c r="E112" s="1"/>
      <c r="F112" s="1"/>
      <c r="G112" s="1"/>
    </row>
    <row r="113" customFormat="false" ht="15.75" hidden="false" customHeight="true" outlineLevel="0" collapsed="false">
      <c r="C113" s="1"/>
      <c r="D113" s="1"/>
      <c r="E113" s="1"/>
      <c r="F113" s="1"/>
      <c r="G113" s="1"/>
    </row>
    <row r="114" customFormat="false" ht="15.75" hidden="false" customHeight="true" outlineLevel="0" collapsed="false">
      <c r="C114" s="1"/>
      <c r="D114" s="1"/>
      <c r="E114" s="1"/>
      <c r="F114" s="1"/>
      <c r="G114" s="1"/>
    </row>
    <row r="115" customFormat="false" ht="15.75" hidden="false" customHeight="true" outlineLevel="0" collapsed="false">
      <c r="C115" s="1"/>
      <c r="D115" s="1"/>
      <c r="E115" s="1"/>
      <c r="F115" s="1"/>
      <c r="G115" s="1"/>
    </row>
    <row r="116" customFormat="false" ht="15.75" hidden="false" customHeight="true" outlineLevel="0" collapsed="false">
      <c r="C116" s="1"/>
      <c r="D116" s="1"/>
      <c r="E116" s="1"/>
      <c r="F116" s="1"/>
      <c r="G116" s="1"/>
    </row>
    <row r="117" customFormat="false" ht="15.75" hidden="false" customHeight="true" outlineLevel="0" collapsed="false">
      <c r="C117" s="1"/>
      <c r="D117" s="1"/>
      <c r="E117" s="1"/>
      <c r="F117" s="1"/>
      <c r="G117" s="1"/>
    </row>
    <row r="118" customFormat="false" ht="15.75" hidden="false" customHeight="true" outlineLevel="0" collapsed="false">
      <c r="C118" s="1"/>
      <c r="D118" s="1"/>
      <c r="E118" s="1"/>
      <c r="F118" s="1"/>
      <c r="G118" s="1"/>
    </row>
    <row r="119" customFormat="false" ht="15.75" hidden="false" customHeight="true" outlineLevel="0" collapsed="false">
      <c r="C119" s="1"/>
      <c r="D119" s="1"/>
      <c r="E119" s="1"/>
      <c r="F119" s="1"/>
      <c r="G119" s="1"/>
    </row>
    <row r="120" customFormat="false" ht="15.75" hidden="false" customHeight="true" outlineLevel="0" collapsed="false">
      <c r="C120" s="1"/>
      <c r="D120" s="1"/>
      <c r="E120" s="1"/>
      <c r="F120" s="1"/>
      <c r="G120" s="1"/>
    </row>
    <row r="121" customFormat="false" ht="15.75" hidden="false" customHeight="true" outlineLevel="0" collapsed="false">
      <c r="C121" s="1"/>
      <c r="D121" s="1"/>
      <c r="E121" s="1"/>
      <c r="F121" s="1"/>
      <c r="G121" s="1"/>
    </row>
    <row r="122" customFormat="false" ht="15.75" hidden="false" customHeight="true" outlineLevel="0" collapsed="false">
      <c r="C122" s="1"/>
      <c r="D122" s="1"/>
      <c r="E122" s="1"/>
      <c r="F122" s="1"/>
      <c r="G122" s="1"/>
    </row>
    <row r="123" customFormat="false" ht="15.75" hidden="false" customHeight="true" outlineLevel="0" collapsed="false">
      <c r="C123" s="1"/>
      <c r="D123" s="1"/>
      <c r="E123" s="1"/>
      <c r="F123" s="1"/>
      <c r="G123" s="1"/>
    </row>
    <row r="124" customFormat="false" ht="15.75" hidden="false" customHeight="true" outlineLevel="0" collapsed="false">
      <c r="C124" s="1"/>
      <c r="D124" s="1"/>
      <c r="E124" s="1"/>
      <c r="F124" s="1"/>
      <c r="G124" s="1"/>
    </row>
    <row r="125" customFormat="false" ht="15.75" hidden="false" customHeight="true" outlineLevel="0" collapsed="false">
      <c r="C125" s="1"/>
      <c r="D125" s="1"/>
      <c r="E125" s="1"/>
      <c r="F125" s="1"/>
      <c r="G125" s="1"/>
    </row>
    <row r="126" customFormat="false" ht="15.75" hidden="false" customHeight="true" outlineLevel="0" collapsed="false">
      <c r="C126" s="1"/>
      <c r="D126" s="1"/>
      <c r="E126" s="1"/>
      <c r="F126" s="1"/>
      <c r="G126" s="1"/>
    </row>
    <row r="127" customFormat="false" ht="15.75" hidden="false" customHeight="true" outlineLevel="0" collapsed="false">
      <c r="C127" s="1"/>
      <c r="D127" s="1"/>
      <c r="E127" s="1"/>
      <c r="F127" s="1"/>
      <c r="G127" s="1"/>
    </row>
    <row r="128" customFormat="false" ht="15.75" hidden="false" customHeight="true" outlineLevel="0" collapsed="false">
      <c r="C128" s="1"/>
      <c r="D128" s="1"/>
      <c r="E128" s="1"/>
      <c r="F128" s="1"/>
      <c r="G128" s="1"/>
    </row>
    <row r="129" customFormat="false" ht="15.75" hidden="false" customHeight="true" outlineLevel="0" collapsed="false">
      <c r="C129" s="1"/>
      <c r="D129" s="1"/>
      <c r="E129" s="1"/>
      <c r="F129" s="1"/>
      <c r="G129" s="1"/>
    </row>
    <row r="130" customFormat="false" ht="15.75" hidden="false" customHeight="true" outlineLevel="0" collapsed="false">
      <c r="C130" s="1"/>
      <c r="D130" s="1"/>
      <c r="E130" s="1"/>
      <c r="F130" s="1"/>
      <c r="G130" s="1"/>
    </row>
    <row r="131" customFormat="false" ht="15.75" hidden="false" customHeight="true" outlineLevel="0" collapsed="false">
      <c r="C131" s="1"/>
      <c r="D131" s="1"/>
      <c r="E131" s="1"/>
      <c r="F131" s="1"/>
      <c r="G131" s="1"/>
    </row>
    <row r="132" customFormat="false" ht="15.75" hidden="false" customHeight="true" outlineLevel="0" collapsed="false">
      <c r="C132" s="1"/>
      <c r="D132" s="1"/>
      <c r="E132" s="1"/>
      <c r="F132" s="1"/>
      <c r="G132" s="1"/>
    </row>
    <row r="133" customFormat="false" ht="15.75" hidden="false" customHeight="true" outlineLevel="0" collapsed="false">
      <c r="C133" s="1"/>
      <c r="D133" s="1"/>
      <c r="E133" s="1"/>
      <c r="F133" s="1"/>
      <c r="G133" s="1"/>
    </row>
    <row r="134" customFormat="false" ht="15.75" hidden="false" customHeight="true" outlineLevel="0" collapsed="false">
      <c r="C134" s="1"/>
      <c r="D134" s="1"/>
      <c r="E134" s="1"/>
      <c r="F134" s="1"/>
      <c r="G134" s="1"/>
    </row>
    <row r="135" customFormat="false" ht="15.75" hidden="false" customHeight="true" outlineLevel="0" collapsed="false">
      <c r="C135" s="1"/>
      <c r="D135" s="1"/>
      <c r="E135" s="1"/>
      <c r="F135" s="1"/>
      <c r="G135" s="1"/>
    </row>
    <row r="136" customFormat="false" ht="15.75" hidden="false" customHeight="true" outlineLevel="0" collapsed="false">
      <c r="C136" s="1"/>
      <c r="D136" s="1"/>
      <c r="E136" s="1"/>
      <c r="F136" s="1"/>
      <c r="G136" s="1"/>
    </row>
    <row r="137" customFormat="false" ht="15.75" hidden="false" customHeight="true" outlineLevel="0" collapsed="false">
      <c r="C137" s="1"/>
      <c r="D137" s="1"/>
      <c r="E137" s="1"/>
      <c r="F137" s="1"/>
      <c r="G137" s="1"/>
    </row>
    <row r="138" customFormat="false" ht="15.75" hidden="false" customHeight="true" outlineLevel="0" collapsed="false">
      <c r="C138" s="1"/>
      <c r="D138" s="1"/>
      <c r="E138" s="1"/>
      <c r="F138" s="1"/>
      <c r="G138" s="1"/>
    </row>
    <row r="139" customFormat="false" ht="15.75" hidden="false" customHeight="true" outlineLevel="0" collapsed="false">
      <c r="C139" s="1"/>
      <c r="D139" s="1"/>
      <c r="E139" s="1"/>
      <c r="F139" s="1"/>
      <c r="G139" s="1"/>
    </row>
    <row r="140" customFormat="false" ht="15.75" hidden="false" customHeight="true" outlineLevel="0" collapsed="false">
      <c r="C140" s="1"/>
      <c r="D140" s="1"/>
      <c r="E140" s="1"/>
      <c r="F140" s="1"/>
      <c r="G140" s="1"/>
    </row>
    <row r="141" customFormat="false" ht="15.75" hidden="false" customHeight="true" outlineLevel="0" collapsed="false">
      <c r="C141" s="1"/>
      <c r="D141" s="1"/>
      <c r="E141" s="1"/>
      <c r="F141" s="1"/>
      <c r="G141" s="1"/>
    </row>
    <row r="142" customFormat="false" ht="15.75" hidden="false" customHeight="true" outlineLevel="0" collapsed="false">
      <c r="C142" s="1"/>
      <c r="D142" s="1"/>
      <c r="E142" s="1"/>
      <c r="F142" s="1"/>
      <c r="G142" s="1"/>
    </row>
    <row r="143" customFormat="false" ht="15.75" hidden="false" customHeight="true" outlineLevel="0" collapsed="false">
      <c r="C143" s="1"/>
      <c r="D143" s="1"/>
      <c r="E143" s="1"/>
      <c r="F143" s="1"/>
      <c r="G143" s="1"/>
    </row>
    <row r="144" customFormat="false" ht="15.75" hidden="false" customHeight="true" outlineLevel="0" collapsed="false">
      <c r="C144" s="1"/>
      <c r="D144" s="1"/>
      <c r="E144" s="1"/>
      <c r="F144" s="1"/>
      <c r="G144" s="1"/>
    </row>
    <row r="145" customFormat="false" ht="15.75" hidden="false" customHeight="true" outlineLevel="0" collapsed="false">
      <c r="C145" s="1"/>
      <c r="D145" s="1"/>
      <c r="E145" s="1"/>
      <c r="F145" s="1"/>
      <c r="G145" s="1"/>
    </row>
    <row r="146" customFormat="false" ht="15.75" hidden="false" customHeight="true" outlineLevel="0" collapsed="false">
      <c r="C146" s="1"/>
      <c r="D146" s="1"/>
      <c r="E146" s="1"/>
      <c r="F146" s="1"/>
      <c r="G146" s="1"/>
    </row>
    <row r="147" customFormat="false" ht="15.75" hidden="false" customHeight="true" outlineLevel="0" collapsed="false">
      <c r="C147" s="1"/>
      <c r="D147" s="1"/>
      <c r="E147" s="1"/>
      <c r="F147" s="1"/>
      <c r="G147" s="1"/>
    </row>
    <row r="148" customFormat="false" ht="15.75" hidden="false" customHeight="true" outlineLevel="0" collapsed="false">
      <c r="C148" s="1"/>
      <c r="D148" s="1"/>
      <c r="E148" s="1"/>
      <c r="F148" s="1"/>
      <c r="G148" s="1"/>
    </row>
    <row r="149" customFormat="false" ht="15.75" hidden="false" customHeight="true" outlineLevel="0" collapsed="false">
      <c r="C149" s="1"/>
      <c r="D149" s="1"/>
      <c r="E149" s="1"/>
      <c r="F149" s="1"/>
      <c r="G149" s="1"/>
    </row>
    <row r="150" customFormat="false" ht="15.75" hidden="false" customHeight="true" outlineLevel="0" collapsed="false">
      <c r="C150" s="1"/>
      <c r="D150" s="1"/>
      <c r="E150" s="1"/>
      <c r="F150" s="1"/>
      <c r="G150" s="1"/>
    </row>
    <row r="151" customFormat="false" ht="15.75" hidden="false" customHeight="true" outlineLevel="0" collapsed="false">
      <c r="C151" s="1"/>
      <c r="D151" s="1"/>
      <c r="E151" s="1"/>
      <c r="F151" s="1"/>
      <c r="G151" s="1"/>
    </row>
    <row r="152" customFormat="false" ht="15.75" hidden="false" customHeight="true" outlineLevel="0" collapsed="false">
      <c r="C152" s="1"/>
      <c r="D152" s="1"/>
      <c r="E152" s="1"/>
      <c r="F152" s="1"/>
      <c r="G152" s="1"/>
    </row>
    <row r="153" customFormat="false" ht="15.75" hidden="false" customHeight="true" outlineLevel="0" collapsed="false">
      <c r="C153" s="1"/>
      <c r="D153" s="1"/>
      <c r="E153" s="1"/>
      <c r="F153" s="1"/>
      <c r="G153" s="1"/>
    </row>
    <row r="154" customFormat="false" ht="15.75" hidden="false" customHeight="true" outlineLevel="0" collapsed="false">
      <c r="C154" s="1"/>
      <c r="D154" s="1"/>
      <c r="E154" s="1"/>
      <c r="F154" s="1"/>
      <c r="G154" s="1"/>
    </row>
    <row r="155" customFormat="false" ht="15.75" hidden="false" customHeight="true" outlineLevel="0" collapsed="false">
      <c r="C155" s="1"/>
      <c r="D155" s="1"/>
      <c r="E155" s="1"/>
      <c r="F155" s="1"/>
      <c r="G155" s="1"/>
    </row>
    <row r="156" customFormat="false" ht="15.75" hidden="false" customHeight="true" outlineLevel="0" collapsed="false">
      <c r="C156" s="1"/>
      <c r="D156" s="1"/>
      <c r="E156" s="1"/>
      <c r="F156" s="1"/>
      <c r="G156" s="1"/>
    </row>
    <row r="157" customFormat="false" ht="15.75" hidden="false" customHeight="true" outlineLevel="0" collapsed="false">
      <c r="C157" s="1"/>
      <c r="D157" s="1"/>
      <c r="E157" s="1"/>
      <c r="F157" s="1"/>
      <c r="G157" s="1"/>
    </row>
    <row r="158" customFormat="false" ht="15.75" hidden="false" customHeight="true" outlineLevel="0" collapsed="false">
      <c r="C158" s="1"/>
      <c r="D158" s="1"/>
      <c r="E158" s="1"/>
      <c r="F158" s="1"/>
      <c r="G158" s="1"/>
    </row>
    <row r="159" customFormat="false" ht="15.75" hidden="false" customHeight="true" outlineLevel="0" collapsed="false">
      <c r="C159" s="1"/>
      <c r="D159" s="1"/>
      <c r="E159" s="1"/>
      <c r="F159" s="1"/>
      <c r="G159" s="1"/>
    </row>
    <row r="160" customFormat="false" ht="15.75" hidden="false" customHeight="true" outlineLevel="0" collapsed="false">
      <c r="C160" s="1"/>
      <c r="D160" s="1"/>
      <c r="E160" s="1"/>
      <c r="F160" s="1"/>
      <c r="G160" s="1"/>
    </row>
    <row r="161" customFormat="false" ht="15.75" hidden="false" customHeight="true" outlineLevel="0" collapsed="false">
      <c r="C161" s="1"/>
      <c r="D161" s="1"/>
      <c r="E161" s="1"/>
      <c r="F161" s="1"/>
      <c r="G161" s="1"/>
    </row>
    <row r="162" customFormat="false" ht="15.75" hidden="false" customHeight="true" outlineLevel="0" collapsed="false">
      <c r="C162" s="1"/>
      <c r="D162" s="1"/>
      <c r="E162" s="1"/>
      <c r="F162" s="1"/>
      <c r="G162" s="1"/>
    </row>
    <row r="163" customFormat="false" ht="15.75" hidden="false" customHeight="true" outlineLevel="0" collapsed="false">
      <c r="C163" s="1"/>
      <c r="D163" s="1"/>
      <c r="E163" s="1"/>
      <c r="F163" s="1"/>
      <c r="G163" s="1"/>
    </row>
    <row r="164" customFormat="false" ht="15.75" hidden="false" customHeight="true" outlineLevel="0" collapsed="false">
      <c r="C164" s="1"/>
      <c r="D164" s="1"/>
      <c r="E164" s="1"/>
      <c r="F164" s="1"/>
      <c r="G164" s="1"/>
    </row>
    <row r="165" customFormat="false" ht="15.75" hidden="false" customHeight="true" outlineLevel="0" collapsed="false">
      <c r="C165" s="1"/>
      <c r="D165" s="1"/>
      <c r="E165" s="1"/>
      <c r="F165" s="1"/>
      <c r="G165" s="1"/>
    </row>
    <row r="166" customFormat="false" ht="15.75" hidden="false" customHeight="true" outlineLevel="0" collapsed="false">
      <c r="C166" s="1"/>
      <c r="D166" s="1"/>
      <c r="E166" s="1"/>
      <c r="F166" s="1"/>
      <c r="G166" s="1"/>
    </row>
    <row r="167" customFormat="false" ht="15.75" hidden="false" customHeight="true" outlineLevel="0" collapsed="false">
      <c r="C167" s="1"/>
      <c r="D167" s="1"/>
      <c r="E167" s="1"/>
      <c r="F167" s="1"/>
      <c r="G167" s="1"/>
    </row>
    <row r="168" customFormat="false" ht="15.75" hidden="false" customHeight="true" outlineLevel="0" collapsed="false">
      <c r="C168" s="1"/>
      <c r="D168" s="1"/>
      <c r="E168" s="1"/>
      <c r="F168" s="1"/>
      <c r="G168" s="1"/>
    </row>
    <row r="169" customFormat="false" ht="15.75" hidden="false" customHeight="true" outlineLevel="0" collapsed="false">
      <c r="C169" s="1"/>
      <c r="D169" s="1"/>
      <c r="E169" s="1"/>
      <c r="F169" s="1"/>
      <c r="G169" s="1"/>
    </row>
    <row r="170" customFormat="false" ht="15.75" hidden="false" customHeight="true" outlineLevel="0" collapsed="false">
      <c r="C170" s="1"/>
      <c r="D170" s="1"/>
      <c r="E170" s="1"/>
      <c r="F170" s="1"/>
      <c r="G170" s="1"/>
    </row>
    <row r="171" customFormat="false" ht="15.75" hidden="false" customHeight="true" outlineLevel="0" collapsed="false">
      <c r="C171" s="1"/>
      <c r="D171" s="1"/>
      <c r="E171" s="1"/>
      <c r="F171" s="1"/>
      <c r="G171" s="1"/>
    </row>
    <row r="172" customFormat="false" ht="15.75" hidden="false" customHeight="true" outlineLevel="0" collapsed="false">
      <c r="C172" s="1"/>
      <c r="D172" s="1"/>
      <c r="E172" s="1"/>
      <c r="F172" s="1"/>
      <c r="G172" s="1"/>
    </row>
    <row r="173" customFormat="false" ht="15.75" hidden="false" customHeight="true" outlineLevel="0" collapsed="false">
      <c r="C173" s="1"/>
      <c r="D173" s="1"/>
      <c r="E173" s="1"/>
      <c r="F173" s="1"/>
      <c r="G173" s="1"/>
    </row>
    <row r="174" customFormat="false" ht="15.75" hidden="false" customHeight="true" outlineLevel="0" collapsed="false">
      <c r="C174" s="1"/>
      <c r="D174" s="1"/>
      <c r="E174" s="1"/>
      <c r="F174" s="1"/>
      <c r="G174" s="1"/>
    </row>
    <row r="175" customFormat="false" ht="15.75" hidden="false" customHeight="true" outlineLevel="0" collapsed="false">
      <c r="C175" s="1"/>
      <c r="D175" s="1"/>
      <c r="E175" s="1"/>
      <c r="F175" s="1"/>
      <c r="G175" s="1"/>
    </row>
    <row r="176" customFormat="false" ht="15.75" hidden="false" customHeight="true" outlineLevel="0" collapsed="false">
      <c r="C176" s="1"/>
      <c r="D176" s="1"/>
      <c r="E176" s="1"/>
      <c r="F176" s="1"/>
      <c r="G176" s="1"/>
    </row>
    <row r="177" customFormat="false" ht="15.75" hidden="false" customHeight="true" outlineLevel="0" collapsed="false">
      <c r="C177" s="1"/>
      <c r="D177" s="1"/>
      <c r="E177" s="1"/>
      <c r="F177" s="1"/>
      <c r="G177" s="1"/>
    </row>
    <row r="178" customFormat="false" ht="15.75" hidden="false" customHeight="true" outlineLevel="0" collapsed="false">
      <c r="C178" s="1"/>
      <c r="D178" s="1"/>
      <c r="E178" s="1"/>
      <c r="F178" s="1"/>
      <c r="G178" s="1"/>
    </row>
    <row r="179" customFormat="false" ht="15.75" hidden="false" customHeight="true" outlineLevel="0" collapsed="false">
      <c r="C179" s="1"/>
      <c r="D179" s="1"/>
      <c r="E179" s="1"/>
      <c r="F179" s="1"/>
      <c r="G179" s="1"/>
    </row>
    <row r="180" customFormat="false" ht="15.75" hidden="false" customHeight="true" outlineLevel="0" collapsed="false">
      <c r="C180" s="1"/>
      <c r="D180" s="1"/>
      <c r="E180" s="1"/>
      <c r="F180" s="1"/>
      <c r="G180" s="1"/>
    </row>
    <row r="181" customFormat="false" ht="15.75" hidden="false" customHeight="true" outlineLevel="0" collapsed="false">
      <c r="C181" s="1"/>
      <c r="D181" s="1"/>
      <c r="E181" s="1"/>
      <c r="F181" s="1"/>
      <c r="G181" s="1"/>
    </row>
    <row r="182" customFormat="false" ht="15.75" hidden="false" customHeight="true" outlineLevel="0" collapsed="false">
      <c r="C182" s="1"/>
      <c r="D182" s="1"/>
      <c r="E182" s="1"/>
      <c r="F182" s="1"/>
      <c r="G182" s="1"/>
    </row>
    <row r="183" customFormat="false" ht="15.75" hidden="false" customHeight="true" outlineLevel="0" collapsed="false">
      <c r="C183" s="1"/>
      <c r="D183" s="1"/>
      <c r="E183" s="1"/>
      <c r="F183" s="1"/>
      <c r="G183" s="1"/>
    </row>
    <row r="184" customFormat="false" ht="15.75" hidden="false" customHeight="true" outlineLevel="0" collapsed="false">
      <c r="C184" s="1"/>
      <c r="D184" s="1"/>
      <c r="E184" s="1"/>
      <c r="F184" s="1"/>
      <c r="G184" s="1"/>
    </row>
    <row r="185" customFormat="false" ht="15.75" hidden="false" customHeight="true" outlineLevel="0" collapsed="false">
      <c r="C185" s="1"/>
      <c r="D185" s="1"/>
      <c r="E185" s="1"/>
      <c r="F185" s="1"/>
      <c r="G185" s="1"/>
    </row>
    <row r="186" customFormat="false" ht="15.75" hidden="false" customHeight="true" outlineLevel="0" collapsed="false">
      <c r="C186" s="1"/>
      <c r="D186" s="1"/>
      <c r="E186" s="1"/>
      <c r="F186" s="1"/>
      <c r="G186" s="1"/>
    </row>
    <row r="187" customFormat="false" ht="15.75" hidden="false" customHeight="true" outlineLevel="0" collapsed="false">
      <c r="C187" s="1"/>
      <c r="D187" s="1"/>
      <c r="E187" s="1"/>
      <c r="F187" s="1"/>
      <c r="G187" s="1"/>
    </row>
    <row r="188" customFormat="false" ht="15.75" hidden="false" customHeight="true" outlineLevel="0" collapsed="false">
      <c r="C188" s="1"/>
      <c r="D188" s="1"/>
      <c r="E188" s="1"/>
      <c r="F188" s="1"/>
      <c r="G188" s="1"/>
    </row>
    <row r="189" customFormat="false" ht="15.75" hidden="false" customHeight="true" outlineLevel="0" collapsed="false">
      <c r="C189" s="1"/>
      <c r="D189" s="1"/>
      <c r="E189" s="1"/>
      <c r="F189" s="1"/>
      <c r="G189" s="1"/>
    </row>
    <row r="190" customFormat="false" ht="15.75" hidden="false" customHeight="true" outlineLevel="0" collapsed="false">
      <c r="C190" s="1"/>
      <c r="D190" s="1"/>
      <c r="E190" s="1"/>
      <c r="F190" s="1"/>
      <c r="G190" s="1"/>
    </row>
    <row r="191" customFormat="false" ht="15.75" hidden="false" customHeight="true" outlineLevel="0" collapsed="false">
      <c r="C191" s="1"/>
      <c r="D191" s="1"/>
      <c r="E191" s="1"/>
      <c r="F191" s="1"/>
      <c r="G191" s="1"/>
    </row>
    <row r="192" customFormat="false" ht="15.75" hidden="false" customHeight="true" outlineLevel="0" collapsed="false">
      <c r="C192" s="1"/>
      <c r="D192" s="1"/>
      <c r="E192" s="1"/>
      <c r="F192" s="1"/>
      <c r="G192" s="1"/>
    </row>
    <row r="193" customFormat="false" ht="15.75" hidden="false" customHeight="true" outlineLevel="0" collapsed="false">
      <c r="C193" s="1"/>
      <c r="D193" s="1"/>
      <c r="E193" s="1"/>
      <c r="F193" s="1"/>
      <c r="G193" s="1"/>
    </row>
    <row r="194" customFormat="false" ht="15.75" hidden="false" customHeight="true" outlineLevel="0" collapsed="false">
      <c r="C194" s="1"/>
      <c r="D194" s="1"/>
      <c r="E194" s="1"/>
      <c r="F194" s="1"/>
      <c r="G194" s="1"/>
    </row>
    <row r="195" customFormat="false" ht="15.75" hidden="false" customHeight="true" outlineLevel="0" collapsed="false">
      <c r="C195" s="1"/>
      <c r="D195" s="1"/>
      <c r="E195" s="1"/>
      <c r="F195" s="1"/>
      <c r="G195" s="1"/>
    </row>
    <row r="196" customFormat="false" ht="15.75" hidden="false" customHeight="true" outlineLevel="0" collapsed="false">
      <c r="C196" s="1"/>
      <c r="D196" s="1"/>
      <c r="E196" s="1"/>
      <c r="F196" s="1"/>
      <c r="G196" s="1"/>
    </row>
    <row r="197" customFormat="false" ht="15.75" hidden="false" customHeight="true" outlineLevel="0" collapsed="false">
      <c r="C197" s="1"/>
      <c r="D197" s="1"/>
      <c r="E197" s="1"/>
      <c r="F197" s="1"/>
      <c r="G197" s="1"/>
    </row>
    <row r="198" customFormat="false" ht="15.75" hidden="false" customHeight="true" outlineLevel="0" collapsed="false">
      <c r="C198" s="1"/>
      <c r="D198" s="1"/>
      <c r="E198" s="1"/>
      <c r="F198" s="1"/>
      <c r="G198" s="1"/>
    </row>
    <row r="199" customFormat="false" ht="15.75" hidden="false" customHeight="true" outlineLevel="0" collapsed="false">
      <c r="C199" s="1"/>
      <c r="D199" s="1"/>
      <c r="E199" s="1"/>
      <c r="F199" s="1"/>
      <c r="G199" s="1"/>
    </row>
    <row r="200" customFormat="false" ht="15.75" hidden="false" customHeight="true" outlineLevel="0" collapsed="false">
      <c r="C200" s="1"/>
      <c r="D200" s="1"/>
      <c r="E200" s="1"/>
      <c r="F200" s="1"/>
      <c r="G200" s="1"/>
    </row>
    <row r="201" customFormat="false" ht="15.75" hidden="false" customHeight="true" outlineLevel="0" collapsed="false">
      <c r="C201" s="1"/>
      <c r="D201" s="1"/>
      <c r="E201" s="1"/>
      <c r="F201" s="1"/>
      <c r="G201" s="1"/>
    </row>
    <row r="202" customFormat="false" ht="15.75" hidden="false" customHeight="true" outlineLevel="0" collapsed="false">
      <c r="C202" s="1"/>
      <c r="D202" s="1"/>
      <c r="E202" s="1"/>
      <c r="F202" s="1"/>
      <c r="G202" s="1"/>
    </row>
    <row r="203" customFormat="false" ht="15.75" hidden="false" customHeight="true" outlineLevel="0" collapsed="false">
      <c r="C203" s="1"/>
      <c r="D203" s="1"/>
      <c r="E203" s="1"/>
      <c r="F203" s="1"/>
      <c r="G203" s="1"/>
    </row>
    <row r="204" customFormat="false" ht="15.75" hidden="false" customHeight="true" outlineLevel="0" collapsed="false">
      <c r="C204" s="1"/>
      <c r="D204" s="1"/>
      <c r="E204" s="1"/>
      <c r="F204" s="1"/>
      <c r="G204" s="1"/>
    </row>
    <row r="205" customFormat="false" ht="15.75" hidden="false" customHeight="true" outlineLevel="0" collapsed="false">
      <c r="C205" s="1"/>
      <c r="D205" s="1"/>
      <c r="E205" s="1"/>
      <c r="F205" s="1"/>
      <c r="G205" s="1"/>
    </row>
    <row r="206" customFormat="false" ht="15.75" hidden="false" customHeight="true" outlineLevel="0" collapsed="false">
      <c r="C206" s="1"/>
      <c r="D206" s="1"/>
      <c r="E206" s="1"/>
      <c r="F206" s="1"/>
      <c r="G206" s="1"/>
    </row>
    <row r="207" customFormat="false" ht="15.75" hidden="false" customHeight="true" outlineLevel="0" collapsed="false">
      <c r="C207" s="1"/>
      <c r="D207" s="1"/>
      <c r="E207" s="1"/>
      <c r="F207" s="1"/>
      <c r="G207" s="1"/>
    </row>
    <row r="208" customFormat="false" ht="15.75" hidden="false" customHeight="true" outlineLevel="0" collapsed="false">
      <c r="C208" s="1"/>
      <c r="D208" s="1"/>
      <c r="E208" s="1"/>
      <c r="F208" s="1"/>
      <c r="G208" s="1"/>
    </row>
    <row r="209" customFormat="false" ht="15.75" hidden="false" customHeight="true" outlineLevel="0" collapsed="false">
      <c r="C209" s="1"/>
      <c r="D209" s="1"/>
      <c r="E209" s="1"/>
      <c r="F209" s="1"/>
      <c r="G209" s="1"/>
    </row>
    <row r="210" customFormat="false" ht="15.75" hidden="false" customHeight="true" outlineLevel="0" collapsed="false">
      <c r="C210" s="1"/>
      <c r="D210" s="1"/>
      <c r="E210" s="1"/>
      <c r="F210" s="1"/>
      <c r="G210" s="1"/>
    </row>
    <row r="211" customFormat="false" ht="15.75" hidden="false" customHeight="true" outlineLevel="0" collapsed="false">
      <c r="C211" s="1"/>
      <c r="D211" s="1"/>
      <c r="E211" s="1"/>
      <c r="F211" s="1"/>
      <c r="G211" s="1"/>
    </row>
    <row r="212" customFormat="false" ht="15.75" hidden="false" customHeight="true" outlineLevel="0" collapsed="false">
      <c r="C212" s="1"/>
      <c r="D212" s="1"/>
      <c r="E212" s="1"/>
      <c r="F212" s="1"/>
      <c r="G212" s="1"/>
    </row>
    <row r="213" customFormat="false" ht="15.75" hidden="false" customHeight="true" outlineLevel="0" collapsed="false">
      <c r="C213" s="1"/>
      <c r="D213" s="1"/>
      <c r="E213" s="1"/>
      <c r="F213" s="1"/>
      <c r="G213" s="1"/>
    </row>
    <row r="214" customFormat="false" ht="15.75" hidden="false" customHeight="true" outlineLevel="0" collapsed="false">
      <c r="C214" s="1"/>
      <c r="D214" s="1"/>
      <c r="E214" s="1"/>
      <c r="F214" s="1"/>
      <c r="G214" s="1"/>
    </row>
    <row r="215" customFormat="false" ht="15.75" hidden="false" customHeight="true" outlineLevel="0" collapsed="false">
      <c r="C215" s="1"/>
      <c r="D215" s="1"/>
      <c r="E215" s="1"/>
      <c r="F215" s="1"/>
      <c r="G215" s="1"/>
    </row>
    <row r="216" customFormat="false" ht="15.75" hidden="false" customHeight="true" outlineLevel="0" collapsed="false">
      <c r="C216" s="1"/>
      <c r="D216" s="1"/>
      <c r="E216" s="1"/>
      <c r="F216" s="1"/>
      <c r="G216" s="1"/>
    </row>
    <row r="217" customFormat="false" ht="15.75" hidden="false" customHeight="true" outlineLevel="0" collapsed="false">
      <c r="C217" s="1"/>
      <c r="D217" s="1"/>
      <c r="E217" s="1"/>
      <c r="F217" s="1"/>
      <c r="G217" s="1"/>
    </row>
    <row r="218" customFormat="false" ht="15.75" hidden="false" customHeight="true" outlineLevel="0" collapsed="false">
      <c r="C218" s="1"/>
      <c r="D218" s="1"/>
      <c r="E218" s="1"/>
      <c r="F218" s="1"/>
      <c r="G218" s="1"/>
    </row>
    <row r="219" customFormat="false" ht="15.75" hidden="false" customHeight="true" outlineLevel="0" collapsed="false">
      <c r="C219" s="1"/>
      <c r="D219" s="1"/>
      <c r="E219" s="1"/>
      <c r="F219" s="1"/>
      <c r="G219" s="1"/>
    </row>
    <row r="220" customFormat="false" ht="15.75" hidden="false" customHeight="true" outlineLevel="0" collapsed="false">
      <c r="C220" s="1"/>
      <c r="D220" s="1"/>
      <c r="E220" s="1"/>
      <c r="F220" s="1"/>
      <c r="G220" s="1"/>
    </row>
    <row r="221" customFormat="false" ht="15.75" hidden="false" customHeight="true" outlineLevel="0" collapsed="false">
      <c r="C221" s="1"/>
      <c r="D221" s="1"/>
      <c r="E221" s="1"/>
      <c r="F221" s="1"/>
      <c r="G221" s="1"/>
    </row>
    <row r="222" customFormat="false" ht="15.75" hidden="false" customHeight="true" outlineLevel="0" collapsed="false">
      <c r="C222" s="1"/>
      <c r="D222" s="1"/>
      <c r="E222" s="1"/>
      <c r="F222" s="1"/>
      <c r="G222" s="1"/>
    </row>
    <row r="223" customFormat="false" ht="15.75" hidden="false" customHeight="true" outlineLevel="0" collapsed="false">
      <c r="C223" s="1"/>
      <c r="D223" s="1"/>
      <c r="E223" s="1"/>
      <c r="F223" s="1"/>
      <c r="G223" s="1"/>
    </row>
    <row r="224" customFormat="false" ht="15.75" hidden="false" customHeight="true" outlineLevel="0" collapsed="false">
      <c r="C224" s="1"/>
      <c r="D224" s="1"/>
      <c r="E224" s="1"/>
      <c r="F224" s="1"/>
      <c r="G224" s="1"/>
    </row>
    <row r="225" customFormat="false" ht="15.75" hidden="false" customHeight="true" outlineLevel="0" collapsed="false">
      <c r="C225" s="1"/>
      <c r="D225" s="1"/>
      <c r="E225" s="1"/>
      <c r="F225" s="1"/>
      <c r="G225" s="1"/>
    </row>
    <row r="226" customFormat="false" ht="15.75" hidden="false" customHeight="true" outlineLevel="0" collapsed="false">
      <c r="C226" s="1"/>
      <c r="D226" s="1"/>
      <c r="E226" s="1"/>
      <c r="F226" s="1"/>
      <c r="G226" s="1"/>
    </row>
    <row r="227" customFormat="false" ht="15.75" hidden="false" customHeight="true" outlineLevel="0" collapsed="false">
      <c r="C227" s="1"/>
      <c r="D227" s="1"/>
      <c r="E227" s="1"/>
      <c r="F227" s="1"/>
      <c r="G227" s="1"/>
    </row>
    <row r="228" customFormat="false" ht="15.75" hidden="false" customHeight="true" outlineLevel="0" collapsed="false">
      <c r="C228" s="1"/>
      <c r="D228" s="1"/>
      <c r="E228" s="1"/>
      <c r="F228" s="1"/>
      <c r="G228" s="1"/>
    </row>
    <row r="229" customFormat="false" ht="15.75" hidden="false" customHeight="true" outlineLevel="0" collapsed="false">
      <c r="C229" s="1"/>
      <c r="D229" s="1"/>
      <c r="E229" s="1"/>
      <c r="F229" s="1"/>
      <c r="G229" s="1"/>
    </row>
    <row r="230" customFormat="false" ht="15.75" hidden="false" customHeight="true" outlineLevel="0" collapsed="false">
      <c r="C230" s="1"/>
      <c r="D230" s="1"/>
      <c r="E230" s="1"/>
      <c r="F230" s="1"/>
      <c r="G230" s="1"/>
    </row>
    <row r="231" customFormat="false" ht="15.75" hidden="false" customHeight="true" outlineLevel="0" collapsed="false">
      <c r="C231" s="1"/>
      <c r="D231" s="1"/>
      <c r="E231" s="1"/>
      <c r="F231" s="1"/>
      <c r="G231" s="1"/>
    </row>
    <row r="232" customFormat="false" ht="15.75" hidden="false" customHeight="true" outlineLevel="0" collapsed="false">
      <c r="C232" s="1"/>
      <c r="D232" s="1"/>
      <c r="E232" s="1"/>
      <c r="F232" s="1"/>
      <c r="G232" s="1"/>
    </row>
    <row r="233" customFormat="false" ht="15.75" hidden="false" customHeight="true" outlineLevel="0" collapsed="false">
      <c r="C233" s="1"/>
      <c r="D233" s="1"/>
      <c r="E233" s="1"/>
      <c r="F233" s="1"/>
      <c r="G233" s="1"/>
    </row>
    <row r="234" customFormat="false" ht="15.75" hidden="false" customHeight="true" outlineLevel="0" collapsed="false">
      <c r="C234" s="1"/>
      <c r="D234" s="1"/>
      <c r="E234" s="1"/>
      <c r="F234" s="1"/>
      <c r="G234" s="1"/>
    </row>
    <row r="235" customFormat="false" ht="15.75" hidden="false" customHeight="true" outlineLevel="0" collapsed="false">
      <c r="C235" s="1"/>
      <c r="D235" s="1"/>
      <c r="E235" s="1"/>
      <c r="F235" s="1"/>
      <c r="G235" s="1"/>
    </row>
    <row r="236" customFormat="false" ht="15.75" hidden="false" customHeight="true" outlineLevel="0" collapsed="false">
      <c r="C236" s="1"/>
      <c r="D236" s="1"/>
      <c r="E236" s="1"/>
      <c r="F236" s="1"/>
      <c r="G236" s="1"/>
    </row>
    <row r="237" customFormat="false" ht="15.75" hidden="false" customHeight="true" outlineLevel="0" collapsed="false">
      <c r="C237" s="1"/>
      <c r="D237" s="1"/>
      <c r="E237" s="1"/>
      <c r="F237" s="1"/>
      <c r="G237" s="1"/>
    </row>
    <row r="238" customFormat="false" ht="15.75" hidden="false" customHeight="true" outlineLevel="0" collapsed="false">
      <c r="C238" s="1"/>
      <c r="D238" s="1"/>
      <c r="E238" s="1"/>
      <c r="F238" s="1"/>
      <c r="G238" s="1"/>
    </row>
    <row r="239" customFormat="false" ht="15.75" hidden="false" customHeight="true" outlineLevel="0" collapsed="false">
      <c r="C239" s="1"/>
      <c r="D239" s="1"/>
      <c r="E239" s="1"/>
      <c r="F239" s="1"/>
      <c r="G239" s="1"/>
    </row>
    <row r="240" customFormat="false" ht="15.75" hidden="false" customHeight="true" outlineLevel="0" collapsed="false">
      <c r="C240" s="1"/>
      <c r="D240" s="1"/>
      <c r="E240" s="1"/>
      <c r="F240" s="1"/>
      <c r="G240" s="1"/>
    </row>
    <row r="241" customFormat="false" ht="15.75" hidden="false" customHeight="true" outlineLevel="0" collapsed="false">
      <c r="C241" s="1"/>
      <c r="D241" s="1"/>
      <c r="E241" s="1"/>
      <c r="F241" s="1"/>
      <c r="G241" s="1"/>
    </row>
    <row r="242" customFormat="false" ht="15.75" hidden="false" customHeight="true" outlineLevel="0" collapsed="false">
      <c r="C242" s="1"/>
      <c r="D242" s="1"/>
      <c r="E242" s="1"/>
      <c r="F242" s="1"/>
      <c r="G242" s="1"/>
    </row>
    <row r="243" customFormat="false" ht="15.75" hidden="false" customHeight="true" outlineLevel="0" collapsed="false">
      <c r="C243" s="1"/>
      <c r="D243" s="1"/>
      <c r="E243" s="1"/>
      <c r="F243" s="1"/>
      <c r="G243" s="1"/>
    </row>
    <row r="244" customFormat="false" ht="15.75" hidden="false" customHeight="true" outlineLevel="0" collapsed="false">
      <c r="C244" s="1"/>
      <c r="D244" s="1"/>
      <c r="E244" s="1"/>
      <c r="F244" s="1"/>
      <c r="G244" s="1"/>
    </row>
    <row r="245" customFormat="false" ht="15.75" hidden="false" customHeight="true" outlineLevel="0" collapsed="false">
      <c r="C245" s="1"/>
      <c r="D245" s="1"/>
      <c r="E245" s="1"/>
      <c r="F245" s="1"/>
      <c r="G245" s="1"/>
    </row>
    <row r="246" customFormat="false" ht="15.75" hidden="false" customHeight="true" outlineLevel="0" collapsed="false">
      <c r="C246" s="1"/>
      <c r="D246" s="1"/>
      <c r="E246" s="1"/>
      <c r="F246" s="1"/>
      <c r="G246" s="1"/>
    </row>
    <row r="247" customFormat="false" ht="15.75" hidden="false" customHeight="true" outlineLevel="0" collapsed="false">
      <c r="C247" s="1"/>
      <c r="D247" s="1"/>
      <c r="E247" s="1"/>
      <c r="F247" s="1"/>
      <c r="G247" s="1"/>
    </row>
    <row r="248" customFormat="false" ht="15.75" hidden="false" customHeight="true" outlineLevel="0" collapsed="false">
      <c r="C248" s="1"/>
      <c r="D248" s="1"/>
      <c r="E248" s="1"/>
      <c r="F248" s="1"/>
      <c r="G248" s="1"/>
    </row>
    <row r="249" customFormat="false" ht="15.75" hidden="false" customHeight="true" outlineLevel="0" collapsed="false">
      <c r="C249" s="1"/>
      <c r="D249" s="1"/>
      <c r="E249" s="1"/>
      <c r="F249" s="1"/>
      <c r="G249" s="1"/>
    </row>
    <row r="250" customFormat="false" ht="15.75" hidden="false" customHeight="true" outlineLevel="0" collapsed="false">
      <c r="C250" s="1"/>
      <c r="D250" s="1"/>
      <c r="E250" s="1"/>
      <c r="F250" s="1"/>
      <c r="G250" s="1"/>
    </row>
    <row r="251" customFormat="false" ht="15.75" hidden="false" customHeight="true" outlineLevel="0" collapsed="false">
      <c r="C251" s="1"/>
      <c r="D251" s="1"/>
      <c r="E251" s="1"/>
      <c r="F251" s="1"/>
      <c r="G251" s="1"/>
    </row>
    <row r="252" customFormat="false" ht="15.75" hidden="false" customHeight="true" outlineLevel="0" collapsed="false">
      <c r="C252" s="1"/>
      <c r="D252" s="1"/>
      <c r="E252" s="1"/>
      <c r="F252" s="1"/>
      <c r="G252" s="1"/>
    </row>
    <row r="253" customFormat="false" ht="15.75" hidden="false" customHeight="true" outlineLevel="0" collapsed="false">
      <c r="C253" s="1"/>
      <c r="D253" s="1"/>
      <c r="E253" s="1"/>
      <c r="F253" s="1"/>
      <c r="G253" s="1"/>
    </row>
    <row r="254" customFormat="false" ht="15.75" hidden="false" customHeight="true" outlineLevel="0" collapsed="false">
      <c r="C254" s="1"/>
      <c r="D254" s="1"/>
      <c r="E254" s="1"/>
      <c r="F254" s="1"/>
      <c r="G254" s="1"/>
    </row>
    <row r="255" customFormat="false" ht="15.75" hidden="false" customHeight="true" outlineLevel="0" collapsed="false">
      <c r="C255" s="1"/>
      <c r="D255" s="1"/>
      <c r="E255" s="1"/>
      <c r="F255" s="1"/>
      <c r="G255" s="1"/>
    </row>
    <row r="256" customFormat="false" ht="15.75" hidden="false" customHeight="true" outlineLevel="0" collapsed="false">
      <c r="C256" s="1"/>
      <c r="D256" s="1"/>
      <c r="E256" s="1"/>
      <c r="F256" s="1"/>
      <c r="G256" s="1"/>
    </row>
    <row r="257" customFormat="false" ht="15.75" hidden="false" customHeight="true" outlineLevel="0" collapsed="false">
      <c r="C257" s="1"/>
      <c r="D257" s="1"/>
      <c r="E257" s="1"/>
      <c r="F257" s="1"/>
      <c r="G257" s="1"/>
    </row>
    <row r="258" customFormat="false" ht="15.75" hidden="false" customHeight="true" outlineLevel="0" collapsed="false">
      <c r="C258" s="1"/>
      <c r="D258" s="1"/>
      <c r="E258" s="1"/>
      <c r="F258" s="1"/>
      <c r="G258" s="1"/>
    </row>
    <row r="259" customFormat="false" ht="15.75" hidden="false" customHeight="true" outlineLevel="0" collapsed="false">
      <c r="C259" s="1"/>
      <c r="D259" s="1"/>
      <c r="E259" s="1"/>
      <c r="F259" s="1"/>
      <c r="G259" s="1"/>
    </row>
    <row r="260" customFormat="false" ht="15.75" hidden="false" customHeight="true" outlineLevel="0" collapsed="false">
      <c r="C260" s="1"/>
      <c r="D260" s="1"/>
      <c r="E260" s="1"/>
      <c r="F260" s="1"/>
      <c r="G260" s="1"/>
    </row>
    <row r="261" customFormat="false" ht="15.75" hidden="false" customHeight="true" outlineLevel="0" collapsed="false">
      <c r="C261" s="1"/>
      <c r="D261" s="1"/>
      <c r="E261" s="1"/>
      <c r="F261" s="1"/>
      <c r="G261" s="1"/>
    </row>
    <row r="262" customFormat="false" ht="15.75" hidden="false" customHeight="true" outlineLevel="0" collapsed="false">
      <c r="C262" s="1"/>
      <c r="D262" s="1"/>
      <c r="E262" s="1"/>
      <c r="F262" s="1"/>
      <c r="G262" s="1"/>
    </row>
    <row r="263" customFormat="false" ht="15.75" hidden="false" customHeight="true" outlineLevel="0" collapsed="false">
      <c r="C263" s="1"/>
      <c r="D263" s="1"/>
      <c r="E263" s="1"/>
      <c r="F263" s="1"/>
      <c r="G263" s="1"/>
    </row>
    <row r="264" customFormat="false" ht="15.75" hidden="false" customHeight="true" outlineLevel="0" collapsed="false">
      <c r="C264" s="1"/>
      <c r="D264" s="1"/>
      <c r="E264" s="1"/>
      <c r="F264" s="1"/>
      <c r="G264" s="1"/>
    </row>
    <row r="265" customFormat="false" ht="15.75" hidden="false" customHeight="true" outlineLevel="0" collapsed="false">
      <c r="C265" s="1"/>
      <c r="D265" s="1"/>
      <c r="E265" s="1"/>
      <c r="F265" s="1"/>
      <c r="G265" s="1"/>
    </row>
    <row r="266" customFormat="false" ht="15.75" hidden="false" customHeight="true" outlineLevel="0" collapsed="false">
      <c r="C266" s="1"/>
      <c r="D266" s="1"/>
      <c r="E266" s="1"/>
      <c r="F266" s="1"/>
      <c r="G266" s="1"/>
    </row>
    <row r="267" customFormat="false" ht="15.75" hidden="false" customHeight="true" outlineLevel="0" collapsed="false">
      <c r="C267" s="1"/>
      <c r="D267" s="1"/>
      <c r="E267" s="1"/>
      <c r="F267" s="1"/>
      <c r="G267" s="1"/>
    </row>
    <row r="268" customFormat="false" ht="15.75" hidden="false" customHeight="true" outlineLevel="0" collapsed="false">
      <c r="C268" s="1"/>
      <c r="D268" s="1"/>
      <c r="E268" s="1"/>
      <c r="F268" s="1"/>
      <c r="G268" s="1"/>
    </row>
    <row r="269" customFormat="false" ht="15.75" hidden="false" customHeight="true" outlineLevel="0" collapsed="false">
      <c r="C269" s="1"/>
      <c r="D269" s="1"/>
      <c r="E269" s="1"/>
      <c r="F269" s="1"/>
      <c r="G269" s="1"/>
    </row>
    <row r="270" customFormat="false" ht="15.75" hidden="false" customHeight="true" outlineLevel="0" collapsed="false">
      <c r="C270" s="1"/>
      <c r="D270" s="1"/>
      <c r="E270" s="1"/>
      <c r="F270" s="1"/>
      <c r="G270" s="1"/>
    </row>
    <row r="271" customFormat="false" ht="15.75" hidden="false" customHeight="true" outlineLevel="0" collapsed="false">
      <c r="C271" s="1"/>
      <c r="D271" s="1"/>
      <c r="E271" s="1"/>
      <c r="F271" s="1"/>
      <c r="G271" s="1"/>
    </row>
    <row r="272" customFormat="false" ht="15.75" hidden="false" customHeight="true" outlineLevel="0" collapsed="false">
      <c r="C272" s="1"/>
      <c r="D272" s="1"/>
      <c r="E272" s="1"/>
      <c r="F272" s="1"/>
      <c r="G272" s="1"/>
    </row>
    <row r="273" customFormat="false" ht="15.75" hidden="false" customHeight="true" outlineLevel="0" collapsed="false">
      <c r="C273" s="1"/>
      <c r="D273" s="1"/>
      <c r="E273" s="1"/>
      <c r="F273" s="1"/>
      <c r="G273" s="1"/>
    </row>
    <row r="274" customFormat="false" ht="15.75" hidden="false" customHeight="true" outlineLevel="0" collapsed="false">
      <c r="C274" s="1"/>
      <c r="D274" s="1"/>
      <c r="E274" s="1"/>
      <c r="F274" s="1"/>
      <c r="G274" s="1"/>
    </row>
    <row r="275" customFormat="false" ht="15.75" hidden="false" customHeight="true" outlineLevel="0" collapsed="false">
      <c r="C275" s="1"/>
      <c r="D275" s="1"/>
      <c r="E275" s="1"/>
      <c r="F275" s="1"/>
      <c r="G275" s="1"/>
    </row>
    <row r="276" customFormat="false" ht="15.75" hidden="false" customHeight="true" outlineLevel="0" collapsed="false">
      <c r="C276" s="1"/>
      <c r="D276" s="1"/>
      <c r="E276" s="1"/>
      <c r="F276" s="1"/>
      <c r="G276" s="1"/>
    </row>
    <row r="277" customFormat="false" ht="15.75" hidden="false" customHeight="true" outlineLevel="0" collapsed="false">
      <c r="C277" s="1"/>
      <c r="D277" s="1"/>
      <c r="E277" s="1"/>
      <c r="F277" s="1"/>
      <c r="G277" s="1"/>
    </row>
    <row r="278" customFormat="false" ht="15.75" hidden="false" customHeight="true" outlineLevel="0" collapsed="false">
      <c r="C278" s="1"/>
      <c r="D278" s="1"/>
      <c r="E278" s="1"/>
      <c r="F278" s="1"/>
      <c r="G278" s="1"/>
    </row>
    <row r="279" customFormat="false" ht="15.75" hidden="false" customHeight="true" outlineLevel="0" collapsed="false">
      <c r="C279" s="1"/>
      <c r="D279" s="1"/>
      <c r="E279" s="1"/>
      <c r="F279" s="1"/>
      <c r="G279" s="1"/>
    </row>
    <row r="280" customFormat="false" ht="15.75" hidden="false" customHeight="true" outlineLevel="0" collapsed="false">
      <c r="C280" s="1"/>
      <c r="D280" s="1"/>
      <c r="E280" s="1"/>
      <c r="F280" s="1"/>
      <c r="G280" s="1"/>
    </row>
    <row r="281" customFormat="false" ht="15.75" hidden="false" customHeight="true" outlineLevel="0" collapsed="false">
      <c r="C281" s="1"/>
      <c r="D281" s="1"/>
      <c r="E281" s="1"/>
      <c r="F281" s="1"/>
      <c r="G281" s="1"/>
    </row>
    <row r="282" customFormat="false" ht="15.75" hidden="false" customHeight="true" outlineLevel="0" collapsed="false">
      <c r="C282" s="1"/>
      <c r="D282" s="1"/>
      <c r="E282" s="1"/>
      <c r="F282" s="1"/>
      <c r="G282" s="1"/>
    </row>
    <row r="283" customFormat="false" ht="15.75" hidden="false" customHeight="true" outlineLevel="0" collapsed="false">
      <c r="C283" s="1"/>
      <c r="D283" s="1"/>
      <c r="E283" s="1"/>
      <c r="F283" s="1"/>
      <c r="G283" s="1"/>
    </row>
    <row r="284" customFormat="false" ht="15.75" hidden="false" customHeight="true" outlineLevel="0" collapsed="false">
      <c r="C284" s="1"/>
      <c r="D284" s="1"/>
      <c r="E284" s="1"/>
      <c r="F284" s="1"/>
      <c r="G284" s="1"/>
    </row>
    <row r="285" customFormat="false" ht="15.75" hidden="false" customHeight="true" outlineLevel="0" collapsed="false">
      <c r="C285" s="1"/>
      <c r="D285" s="1"/>
      <c r="E285" s="1"/>
      <c r="F285" s="1"/>
      <c r="G285" s="1"/>
    </row>
    <row r="286" customFormat="false" ht="15.75" hidden="false" customHeight="true" outlineLevel="0" collapsed="false">
      <c r="C286" s="1"/>
      <c r="D286" s="1"/>
      <c r="E286" s="1"/>
      <c r="F286" s="1"/>
      <c r="G286" s="1"/>
    </row>
    <row r="287" customFormat="false" ht="15.75" hidden="false" customHeight="true" outlineLevel="0" collapsed="false">
      <c r="C287" s="1"/>
      <c r="D287" s="1"/>
      <c r="E287" s="1"/>
      <c r="F287" s="1"/>
      <c r="G287" s="1"/>
    </row>
    <row r="288" customFormat="false" ht="15.75" hidden="false" customHeight="true" outlineLevel="0" collapsed="false">
      <c r="C288" s="1"/>
      <c r="D288" s="1"/>
      <c r="E288" s="1"/>
      <c r="F288" s="1"/>
      <c r="G288" s="1"/>
    </row>
    <row r="289" customFormat="false" ht="15.75" hidden="false" customHeight="true" outlineLevel="0" collapsed="false">
      <c r="C289" s="1"/>
      <c r="D289" s="1"/>
      <c r="E289" s="1"/>
      <c r="F289" s="1"/>
      <c r="G289" s="1"/>
    </row>
    <row r="290" customFormat="false" ht="15.75" hidden="false" customHeight="true" outlineLevel="0" collapsed="false">
      <c r="C290" s="1"/>
      <c r="D290" s="1"/>
      <c r="E290" s="1"/>
      <c r="F290" s="1"/>
      <c r="G290" s="1"/>
    </row>
    <row r="291" customFormat="false" ht="15.75" hidden="false" customHeight="true" outlineLevel="0" collapsed="false">
      <c r="C291" s="1"/>
      <c r="D291" s="1"/>
      <c r="E291" s="1"/>
      <c r="F291" s="1"/>
      <c r="G291" s="1"/>
    </row>
    <row r="292" customFormat="false" ht="15.75" hidden="false" customHeight="true" outlineLevel="0" collapsed="false">
      <c r="C292" s="1"/>
      <c r="D292" s="1"/>
      <c r="E292" s="1"/>
      <c r="F292" s="1"/>
      <c r="G292" s="1"/>
    </row>
    <row r="293" customFormat="false" ht="15.75" hidden="false" customHeight="true" outlineLevel="0" collapsed="false">
      <c r="C293" s="1"/>
      <c r="D293" s="1"/>
      <c r="E293" s="1"/>
      <c r="F293" s="1"/>
      <c r="G293" s="1"/>
    </row>
    <row r="294" customFormat="false" ht="15.75" hidden="false" customHeight="true" outlineLevel="0" collapsed="false">
      <c r="C294" s="1"/>
      <c r="D294" s="1"/>
      <c r="E294" s="1"/>
      <c r="F294" s="1"/>
      <c r="G294" s="1"/>
    </row>
    <row r="295" customFormat="false" ht="15.75" hidden="false" customHeight="true" outlineLevel="0" collapsed="false">
      <c r="C295" s="1"/>
      <c r="D295" s="1"/>
      <c r="E295" s="1"/>
      <c r="F295" s="1"/>
      <c r="G295" s="1"/>
    </row>
    <row r="296" customFormat="false" ht="15.75" hidden="false" customHeight="true" outlineLevel="0" collapsed="false">
      <c r="C296" s="1"/>
      <c r="D296" s="1"/>
      <c r="E296" s="1"/>
      <c r="F296" s="1"/>
      <c r="G296" s="1"/>
    </row>
    <row r="297" customFormat="false" ht="15.75" hidden="false" customHeight="true" outlineLevel="0" collapsed="false">
      <c r="C297" s="1"/>
      <c r="D297" s="1"/>
      <c r="E297" s="1"/>
      <c r="F297" s="1"/>
      <c r="G297" s="1"/>
    </row>
    <row r="298" customFormat="false" ht="15.75" hidden="false" customHeight="true" outlineLevel="0" collapsed="false">
      <c r="C298" s="1"/>
      <c r="D298" s="1"/>
      <c r="E298" s="1"/>
      <c r="F298" s="1"/>
      <c r="G298" s="1"/>
    </row>
    <row r="299" customFormat="false" ht="15.75" hidden="false" customHeight="true" outlineLevel="0" collapsed="false">
      <c r="C299" s="1"/>
      <c r="D299" s="1"/>
      <c r="E299" s="1"/>
      <c r="F299" s="1"/>
      <c r="G299" s="1"/>
    </row>
    <row r="300" customFormat="false" ht="15.75" hidden="false" customHeight="true" outlineLevel="0" collapsed="false">
      <c r="C300" s="1"/>
      <c r="D300" s="1"/>
      <c r="E300" s="1"/>
      <c r="F300" s="1"/>
      <c r="G300" s="1"/>
    </row>
    <row r="301" customFormat="false" ht="15.75" hidden="false" customHeight="true" outlineLevel="0" collapsed="false">
      <c r="C301" s="1"/>
      <c r="D301" s="1"/>
      <c r="E301" s="1"/>
      <c r="F301" s="1"/>
      <c r="G301" s="1"/>
    </row>
    <row r="302" customFormat="false" ht="15.75" hidden="false" customHeight="true" outlineLevel="0" collapsed="false">
      <c r="C302" s="1"/>
      <c r="D302" s="1"/>
      <c r="E302" s="1"/>
      <c r="F302" s="1"/>
      <c r="G302" s="1"/>
    </row>
    <row r="303" customFormat="false" ht="15.75" hidden="false" customHeight="true" outlineLevel="0" collapsed="false">
      <c r="C303" s="1"/>
      <c r="D303" s="1"/>
      <c r="E303" s="1"/>
      <c r="F303" s="1"/>
      <c r="G303" s="1"/>
    </row>
    <row r="304" customFormat="false" ht="15.75" hidden="false" customHeight="true" outlineLevel="0" collapsed="false">
      <c r="C304" s="1"/>
      <c r="D304" s="1"/>
      <c r="E304" s="1"/>
      <c r="F304" s="1"/>
      <c r="G304" s="1"/>
    </row>
    <row r="305" customFormat="false" ht="15.75" hidden="false" customHeight="true" outlineLevel="0" collapsed="false">
      <c r="C305" s="1"/>
      <c r="D305" s="1"/>
      <c r="E305" s="1"/>
      <c r="F305" s="1"/>
      <c r="G305" s="1"/>
    </row>
    <row r="306" customFormat="false" ht="15.75" hidden="false" customHeight="true" outlineLevel="0" collapsed="false">
      <c r="C306" s="1"/>
      <c r="D306" s="1"/>
      <c r="E306" s="1"/>
      <c r="F306" s="1"/>
      <c r="G306" s="1"/>
    </row>
    <row r="307" customFormat="false" ht="15.75" hidden="false" customHeight="true" outlineLevel="0" collapsed="false">
      <c r="C307" s="1"/>
      <c r="D307" s="1"/>
      <c r="E307" s="1"/>
      <c r="F307" s="1"/>
      <c r="G307" s="1"/>
    </row>
    <row r="308" customFormat="false" ht="15.75" hidden="false" customHeight="true" outlineLevel="0" collapsed="false">
      <c r="C308" s="1"/>
      <c r="D308" s="1"/>
      <c r="E308" s="1"/>
      <c r="F308" s="1"/>
      <c r="G308" s="1"/>
    </row>
    <row r="309" customFormat="false" ht="15.75" hidden="false" customHeight="true" outlineLevel="0" collapsed="false">
      <c r="C309" s="1"/>
      <c r="D309" s="1"/>
      <c r="E309" s="1"/>
      <c r="F309" s="1"/>
      <c r="G309" s="1"/>
    </row>
    <row r="310" customFormat="false" ht="15.75" hidden="false" customHeight="true" outlineLevel="0" collapsed="false">
      <c r="C310" s="1"/>
      <c r="D310" s="1"/>
      <c r="E310" s="1"/>
      <c r="F310" s="1"/>
      <c r="G310" s="1"/>
    </row>
    <row r="311" customFormat="false" ht="15.75" hidden="false" customHeight="true" outlineLevel="0" collapsed="false">
      <c r="C311" s="1"/>
      <c r="D311" s="1"/>
      <c r="E311" s="1"/>
      <c r="F311" s="1"/>
      <c r="G311" s="1"/>
    </row>
    <row r="312" customFormat="false" ht="15.75" hidden="false" customHeight="true" outlineLevel="0" collapsed="false">
      <c r="C312" s="1"/>
      <c r="D312" s="1"/>
      <c r="E312" s="1"/>
      <c r="F312" s="1"/>
      <c r="G312" s="1"/>
    </row>
    <row r="313" customFormat="false" ht="15.75" hidden="false" customHeight="true" outlineLevel="0" collapsed="false">
      <c r="C313" s="1"/>
      <c r="D313" s="1"/>
      <c r="E313" s="1"/>
      <c r="F313" s="1"/>
      <c r="G313" s="1"/>
    </row>
    <row r="314" customFormat="false" ht="15.75" hidden="false" customHeight="true" outlineLevel="0" collapsed="false">
      <c r="C314" s="1"/>
      <c r="D314" s="1"/>
      <c r="E314" s="1"/>
      <c r="F314" s="1"/>
      <c r="G314" s="1"/>
    </row>
    <row r="315" customFormat="false" ht="15.75" hidden="false" customHeight="true" outlineLevel="0" collapsed="false">
      <c r="C315" s="1"/>
      <c r="D315" s="1"/>
      <c r="E315" s="1"/>
      <c r="F315" s="1"/>
      <c r="G315" s="1"/>
    </row>
    <row r="316" customFormat="false" ht="15.75" hidden="false" customHeight="true" outlineLevel="0" collapsed="false">
      <c r="C316" s="1"/>
      <c r="D316" s="1"/>
      <c r="E316" s="1"/>
      <c r="F316" s="1"/>
      <c r="G316" s="1"/>
    </row>
    <row r="317" customFormat="false" ht="15.75" hidden="false" customHeight="true" outlineLevel="0" collapsed="false">
      <c r="C317" s="1"/>
      <c r="D317" s="1"/>
      <c r="E317" s="1"/>
      <c r="F317" s="1"/>
      <c r="G317" s="1"/>
    </row>
    <row r="318" customFormat="false" ht="15.75" hidden="false" customHeight="true" outlineLevel="0" collapsed="false">
      <c r="C318" s="1"/>
      <c r="D318" s="1"/>
      <c r="E318" s="1"/>
      <c r="F318" s="1"/>
      <c r="G318" s="1"/>
    </row>
    <row r="319" customFormat="false" ht="15.75" hidden="false" customHeight="true" outlineLevel="0" collapsed="false">
      <c r="C319" s="1"/>
      <c r="D319" s="1"/>
      <c r="E319" s="1"/>
      <c r="F319" s="1"/>
      <c r="G319" s="1"/>
    </row>
    <row r="320" customFormat="false" ht="15.75" hidden="false" customHeight="true" outlineLevel="0" collapsed="false">
      <c r="C320" s="1"/>
      <c r="D320" s="1"/>
      <c r="E320" s="1"/>
      <c r="F320" s="1"/>
      <c r="G320" s="1"/>
    </row>
    <row r="321" customFormat="false" ht="15.75" hidden="false" customHeight="true" outlineLevel="0" collapsed="false">
      <c r="C321" s="1"/>
      <c r="D321" s="1"/>
      <c r="E321" s="1"/>
      <c r="F321" s="1"/>
      <c r="G321" s="1"/>
    </row>
    <row r="322" customFormat="false" ht="15.75" hidden="false" customHeight="true" outlineLevel="0" collapsed="false">
      <c r="C322" s="1"/>
      <c r="D322" s="1"/>
      <c r="E322" s="1"/>
      <c r="F322" s="1"/>
      <c r="G322" s="1"/>
    </row>
    <row r="323" customFormat="false" ht="15.75" hidden="false" customHeight="true" outlineLevel="0" collapsed="false">
      <c r="C323" s="1"/>
      <c r="D323" s="1"/>
      <c r="E323" s="1"/>
      <c r="F323" s="1"/>
      <c r="G323" s="1"/>
    </row>
    <row r="324" customFormat="false" ht="15.75" hidden="false" customHeight="true" outlineLevel="0" collapsed="false">
      <c r="C324" s="1"/>
      <c r="D324" s="1"/>
      <c r="E324" s="1"/>
      <c r="F324" s="1"/>
      <c r="G324" s="1"/>
    </row>
    <row r="325" customFormat="false" ht="15.75" hidden="false" customHeight="true" outlineLevel="0" collapsed="false">
      <c r="C325" s="1"/>
      <c r="D325" s="1"/>
      <c r="E325" s="1"/>
      <c r="F325" s="1"/>
      <c r="G325" s="1"/>
    </row>
    <row r="326" customFormat="false" ht="15.75" hidden="false" customHeight="true" outlineLevel="0" collapsed="false">
      <c r="C326" s="1"/>
      <c r="D326" s="1"/>
      <c r="E326" s="1"/>
      <c r="F326" s="1"/>
      <c r="G326" s="1"/>
    </row>
    <row r="327" customFormat="false" ht="15.75" hidden="false" customHeight="true" outlineLevel="0" collapsed="false">
      <c r="C327" s="1"/>
      <c r="D327" s="1"/>
      <c r="E327" s="1"/>
      <c r="F327" s="1"/>
      <c r="G327" s="1"/>
    </row>
    <row r="328" customFormat="false" ht="15.75" hidden="false" customHeight="true" outlineLevel="0" collapsed="false">
      <c r="C328" s="1"/>
      <c r="D328" s="1"/>
      <c r="E328" s="1"/>
      <c r="F328" s="1"/>
      <c r="G328" s="1"/>
    </row>
    <row r="329" customFormat="false" ht="15.75" hidden="false" customHeight="true" outlineLevel="0" collapsed="false">
      <c r="C329" s="1"/>
      <c r="D329" s="1"/>
      <c r="E329" s="1"/>
      <c r="F329" s="1"/>
      <c r="G329" s="1"/>
    </row>
    <row r="330" customFormat="false" ht="15.75" hidden="false" customHeight="true" outlineLevel="0" collapsed="false">
      <c r="C330" s="1"/>
      <c r="D330" s="1"/>
      <c r="E330" s="1"/>
      <c r="F330" s="1"/>
      <c r="G330" s="1"/>
    </row>
    <row r="331" customFormat="false" ht="15.75" hidden="false" customHeight="true" outlineLevel="0" collapsed="false">
      <c r="C331" s="1"/>
      <c r="D331" s="1"/>
      <c r="E331" s="1"/>
      <c r="F331" s="1"/>
      <c r="G331" s="1"/>
    </row>
    <row r="332" customFormat="false" ht="15.75" hidden="false" customHeight="true" outlineLevel="0" collapsed="false">
      <c r="C332" s="1"/>
      <c r="D332" s="1"/>
      <c r="E332" s="1"/>
      <c r="F332" s="1"/>
      <c r="G332" s="1"/>
    </row>
    <row r="333" customFormat="false" ht="15.75" hidden="false" customHeight="true" outlineLevel="0" collapsed="false">
      <c r="C333" s="1"/>
      <c r="D333" s="1"/>
      <c r="E333" s="1"/>
      <c r="F333" s="1"/>
      <c r="G333" s="1"/>
    </row>
    <row r="334" customFormat="false" ht="15.75" hidden="false" customHeight="true" outlineLevel="0" collapsed="false">
      <c r="C334" s="1"/>
      <c r="D334" s="1"/>
      <c r="E334" s="1"/>
      <c r="F334" s="1"/>
      <c r="G334" s="1"/>
    </row>
    <row r="335" customFormat="false" ht="15.75" hidden="false" customHeight="true" outlineLevel="0" collapsed="false">
      <c r="C335" s="1"/>
      <c r="D335" s="1"/>
      <c r="E335" s="1"/>
      <c r="F335" s="1"/>
      <c r="G335" s="1"/>
    </row>
    <row r="336" customFormat="false" ht="15.75" hidden="false" customHeight="true" outlineLevel="0" collapsed="false">
      <c r="C336" s="1"/>
      <c r="D336" s="1"/>
      <c r="E336" s="1"/>
      <c r="F336" s="1"/>
      <c r="G336" s="1"/>
    </row>
    <row r="337" customFormat="false" ht="15.75" hidden="false" customHeight="true" outlineLevel="0" collapsed="false">
      <c r="C337" s="1"/>
      <c r="D337" s="1"/>
      <c r="E337" s="1"/>
      <c r="F337" s="1"/>
      <c r="G337" s="1"/>
    </row>
    <row r="338" customFormat="false" ht="15.75" hidden="false" customHeight="true" outlineLevel="0" collapsed="false">
      <c r="C338" s="1"/>
      <c r="D338" s="1"/>
      <c r="E338" s="1"/>
      <c r="F338" s="1"/>
      <c r="G338" s="1"/>
    </row>
    <row r="339" customFormat="false" ht="15.75" hidden="false" customHeight="true" outlineLevel="0" collapsed="false">
      <c r="C339" s="1"/>
      <c r="D339" s="1"/>
      <c r="E339" s="1"/>
      <c r="F339" s="1"/>
      <c r="G339" s="1"/>
    </row>
    <row r="340" customFormat="false" ht="15.75" hidden="false" customHeight="true" outlineLevel="0" collapsed="false">
      <c r="C340" s="1"/>
      <c r="D340" s="1"/>
      <c r="E340" s="1"/>
      <c r="F340" s="1"/>
      <c r="G340" s="1"/>
    </row>
    <row r="341" customFormat="false" ht="15.75" hidden="false" customHeight="true" outlineLevel="0" collapsed="false">
      <c r="C341" s="1"/>
      <c r="D341" s="1"/>
      <c r="E341" s="1"/>
      <c r="F341" s="1"/>
      <c r="G341" s="1"/>
    </row>
    <row r="342" customFormat="false" ht="15.75" hidden="false" customHeight="true" outlineLevel="0" collapsed="false">
      <c r="C342" s="1"/>
      <c r="D342" s="1"/>
      <c r="E342" s="1"/>
      <c r="F342" s="1"/>
      <c r="G342" s="1"/>
    </row>
    <row r="343" customFormat="false" ht="15.75" hidden="false" customHeight="true" outlineLevel="0" collapsed="false">
      <c r="C343" s="1"/>
      <c r="D343" s="1"/>
      <c r="E343" s="1"/>
      <c r="F343" s="1"/>
      <c r="G343" s="1"/>
    </row>
    <row r="344" customFormat="false" ht="15.75" hidden="false" customHeight="true" outlineLevel="0" collapsed="false">
      <c r="C344" s="1"/>
      <c r="D344" s="1"/>
      <c r="E344" s="1"/>
      <c r="F344" s="1"/>
      <c r="G344" s="1"/>
    </row>
    <row r="345" customFormat="false" ht="15.75" hidden="false" customHeight="true" outlineLevel="0" collapsed="false">
      <c r="C345" s="1"/>
      <c r="D345" s="1"/>
      <c r="E345" s="1"/>
      <c r="F345" s="1"/>
      <c r="G345" s="1"/>
    </row>
    <row r="346" customFormat="false" ht="15.75" hidden="false" customHeight="true" outlineLevel="0" collapsed="false">
      <c r="C346" s="1"/>
      <c r="D346" s="1"/>
      <c r="E346" s="1"/>
      <c r="F346" s="1"/>
      <c r="G346" s="1"/>
    </row>
    <row r="347" customFormat="false" ht="15.75" hidden="false" customHeight="true" outlineLevel="0" collapsed="false">
      <c r="C347" s="1"/>
      <c r="D347" s="1"/>
      <c r="E347" s="1"/>
      <c r="F347" s="1"/>
      <c r="G347" s="1"/>
    </row>
    <row r="348" customFormat="false" ht="15.75" hidden="false" customHeight="true" outlineLevel="0" collapsed="false">
      <c r="C348" s="1"/>
      <c r="D348" s="1"/>
      <c r="E348" s="1"/>
      <c r="F348" s="1"/>
      <c r="G348" s="1"/>
    </row>
    <row r="349" customFormat="false" ht="15.75" hidden="false" customHeight="true" outlineLevel="0" collapsed="false">
      <c r="C349" s="1"/>
      <c r="D349" s="1"/>
      <c r="E349" s="1"/>
      <c r="F349" s="1"/>
      <c r="G349" s="1"/>
    </row>
    <row r="350" customFormat="false" ht="15.75" hidden="false" customHeight="true" outlineLevel="0" collapsed="false">
      <c r="C350" s="1"/>
      <c r="D350" s="1"/>
      <c r="E350" s="1"/>
      <c r="F350" s="1"/>
      <c r="G350" s="1"/>
    </row>
    <row r="351" customFormat="false" ht="15.75" hidden="false" customHeight="true" outlineLevel="0" collapsed="false">
      <c r="C351" s="1"/>
      <c r="D351" s="1"/>
      <c r="E351" s="1"/>
      <c r="F351" s="1"/>
      <c r="G351" s="1"/>
    </row>
    <row r="352" customFormat="false" ht="15.75" hidden="false" customHeight="true" outlineLevel="0" collapsed="false">
      <c r="C352" s="1"/>
      <c r="D352" s="1"/>
      <c r="E352" s="1"/>
      <c r="F352" s="1"/>
      <c r="G352" s="1"/>
    </row>
    <row r="353" customFormat="false" ht="15.75" hidden="false" customHeight="true" outlineLevel="0" collapsed="false">
      <c r="C353" s="1"/>
      <c r="D353" s="1"/>
      <c r="E353" s="1"/>
      <c r="F353" s="1"/>
      <c r="G353" s="1"/>
    </row>
    <row r="354" customFormat="false" ht="15.75" hidden="false" customHeight="true" outlineLevel="0" collapsed="false">
      <c r="C354" s="1"/>
      <c r="D354" s="1"/>
      <c r="E354" s="1"/>
      <c r="F354" s="1"/>
      <c r="G354" s="1"/>
    </row>
    <row r="355" customFormat="false" ht="15.75" hidden="false" customHeight="true" outlineLevel="0" collapsed="false">
      <c r="C355" s="1"/>
      <c r="D355" s="1"/>
      <c r="E355" s="1"/>
      <c r="F355" s="1"/>
      <c r="G355" s="1"/>
    </row>
    <row r="356" customFormat="false" ht="15.75" hidden="false" customHeight="true" outlineLevel="0" collapsed="false">
      <c r="C356" s="1"/>
      <c r="D356" s="1"/>
      <c r="E356" s="1"/>
      <c r="F356" s="1"/>
      <c r="G356" s="1"/>
    </row>
    <row r="357" customFormat="false" ht="15.75" hidden="false" customHeight="true" outlineLevel="0" collapsed="false">
      <c r="C357" s="1"/>
      <c r="D357" s="1"/>
      <c r="E357" s="1"/>
      <c r="F357" s="1"/>
      <c r="G357" s="1"/>
    </row>
    <row r="358" customFormat="false" ht="15.75" hidden="false" customHeight="true" outlineLevel="0" collapsed="false">
      <c r="C358" s="1"/>
      <c r="D358" s="1"/>
      <c r="E358" s="1"/>
      <c r="F358" s="1"/>
      <c r="G358" s="1"/>
    </row>
    <row r="359" customFormat="false" ht="15.75" hidden="false" customHeight="true" outlineLevel="0" collapsed="false">
      <c r="C359" s="1"/>
      <c r="D359" s="1"/>
      <c r="E359" s="1"/>
      <c r="F359" s="1"/>
      <c r="G359" s="1"/>
    </row>
    <row r="360" customFormat="false" ht="15.75" hidden="false" customHeight="true" outlineLevel="0" collapsed="false">
      <c r="C360" s="1"/>
      <c r="D360" s="1"/>
      <c r="E360" s="1"/>
      <c r="F360" s="1"/>
      <c r="G360" s="1"/>
    </row>
    <row r="361" customFormat="false" ht="15.75" hidden="false" customHeight="true" outlineLevel="0" collapsed="false">
      <c r="C361" s="1"/>
      <c r="D361" s="1"/>
      <c r="E361" s="1"/>
      <c r="F361" s="1"/>
      <c r="G361" s="1"/>
    </row>
    <row r="362" customFormat="false" ht="15.75" hidden="false" customHeight="true" outlineLevel="0" collapsed="false">
      <c r="C362" s="1"/>
      <c r="D362" s="1"/>
      <c r="E362" s="1"/>
      <c r="F362" s="1"/>
      <c r="G362" s="1"/>
    </row>
    <row r="363" customFormat="false" ht="15.75" hidden="false" customHeight="true" outlineLevel="0" collapsed="false">
      <c r="C363" s="1"/>
      <c r="D363" s="1"/>
      <c r="E363" s="1"/>
      <c r="F363" s="1"/>
      <c r="G363" s="1"/>
    </row>
    <row r="364" customFormat="false" ht="15.75" hidden="false" customHeight="true" outlineLevel="0" collapsed="false">
      <c r="C364" s="1"/>
      <c r="D364" s="1"/>
      <c r="E364" s="1"/>
      <c r="F364" s="1"/>
      <c r="G364" s="1"/>
    </row>
    <row r="365" customFormat="false" ht="15.75" hidden="false" customHeight="true" outlineLevel="0" collapsed="false">
      <c r="C365" s="1"/>
      <c r="D365" s="1"/>
      <c r="E365" s="1"/>
      <c r="F365" s="1"/>
      <c r="G365" s="1"/>
    </row>
    <row r="366" customFormat="false" ht="15.75" hidden="false" customHeight="true" outlineLevel="0" collapsed="false">
      <c r="C366" s="1"/>
      <c r="D366" s="1"/>
      <c r="E366" s="1"/>
      <c r="F366" s="1"/>
      <c r="G366" s="1"/>
    </row>
    <row r="367" customFormat="false" ht="15.75" hidden="false" customHeight="true" outlineLevel="0" collapsed="false">
      <c r="C367" s="1"/>
      <c r="D367" s="1"/>
      <c r="E367" s="1"/>
      <c r="F367" s="1"/>
      <c r="G367" s="1"/>
    </row>
    <row r="368" customFormat="false" ht="15.75" hidden="false" customHeight="true" outlineLevel="0" collapsed="false">
      <c r="C368" s="1"/>
      <c r="D368" s="1"/>
      <c r="E368" s="1"/>
      <c r="F368" s="1"/>
      <c r="G368" s="1"/>
    </row>
    <row r="369" customFormat="false" ht="15.75" hidden="false" customHeight="true" outlineLevel="0" collapsed="false">
      <c r="C369" s="1"/>
      <c r="D369" s="1"/>
      <c r="E369" s="1"/>
      <c r="F369" s="1"/>
      <c r="G369" s="1"/>
    </row>
    <row r="370" customFormat="false" ht="15.75" hidden="false" customHeight="true" outlineLevel="0" collapsed="false">
      <c r="C370" s="1"/>
      <c r="D370" s="1"/>
      <c r="E370" s="1"/>
      <c r="F370" s="1"/>
      <c r="G370" s="1"/>
    </row>
    <row r="371" customFormat="false" ht="15.75" hidden="false" customHeight="true" outlineLevel="0" collapsed="false">
      <c r="C371" s="1"/>
      <c r="D371" s="1"/>
      <c r="E371" s="1"/>
      <c r="F371" s="1"/>
      <c r="G371" s="1"/>
    </row>
    <row r="372" customFormat="false" ht="15.75" hidden="false" customHeight="true" outlineLevel="0" collapsed="false">
      <c r="C372" s="1"/>
      <c r="D372" s="1"/>
      <c r="E372" s="1"/>
      <c r="F372" s="1"/>
      <c r="G372" s="1"/>
    </row>
    <row r="373" customFormat="false" ht="15.75" hidden="false" customHeight="true" outlineLevel="0" collapsed="false">
      <c r="C373" s="1"/>
      <c r="D373" s="1"/>
      <c r="E373" s="1"/>
      <c r="F373" s="1"/>
      <c r="G373" s="1"/>
    </row>
    <row r="374" customFormat="false" ht="15.75" hidden="false" customHeight="true" outlineLevel="0" collapsed="false">
      <c r="C374" s="1"/>
      <c r="D374" s="1"/>
      <c r="E374" s="1"/>
      <c r="F374" s="1"/>
      <c r="G374" s="1"/>
    </row>
    <row r="375" customFormat="false" ht="15.75" hidden="false" customHeight="true" outlineLevel="0" collapsed="false">
      <c r="C375" s="1"/>
      <c r="D375" s="1"/>
      <c r="E375" s="1"/>
      <c r="F375" s="1"/>
      <c r="G375" s="1"/>
    </row>
    <row r="376" customFormat="false" ht="15.75" hidden="false" customHeight="true" outlineLevel="0" collapsed="false">
      <c r="C376" s="1"/>
      <c r="D376" s="1"/>
      <c r="E376" s="1"/>
      <c r="F376" s="1"/>
      <c r="G376" s="1"/>
    </row>
    <row r="377" customFormat="false" ht="15.75" hidden="false" customHeight="true" outlineLevel="0" collapsed="false">
      <c r="C377" s="1"/>
      <c r="D377" s="1"/>
      <c r="E377" s="1"/>
      <c r="F377" s="1"/>
      <c r="G377" s="1"/>
    </row>
    <row r="378" customFormat="false" ht="15.75" hidden="false" customHeight="true" outlineLevel="0" collapsed="false">
      <c r="C378" s="1"/>
      <c r="D378" s="1"/>
      <c r="E378" s="1"/>
      <c r="F378" s="1"/>
      <c r="G378" s="1"/>
    </row>
    <row r="379" customFormat="false" ht="15.75" hidden="false" customHeight="true" outlineLevel="0" collapsed="false">
      <c r="C379" s="1"/>
      <c r="D379" s="1"/>
      <c r="E379" s="1"/>
      <c r="F379" s="1"/>
      <c r="G379" s="1"/>
    </row>
    <row r="380" customFormat="false" ht="15.75" hidden="false" customHeight="true" outlineLevel="0" collapsed="false">
      <c r="C380" s="1"/>
      <c r="D380" s="1"/>
      <c r="E380" s="1"/>
      <c r="F380" s="1"/>
      <c r="G380" s="1"/>
    </row>
    <row r="381" customFormat="false" ht="15.75" hidden="false" customHeight="true" outlineLevel="0" collapsed="false">
      <c r="C381" s="1"/>
      <c r="D381" s="1"/>
      <c r="E381" s="1"/>
      <c r="F381" s="1"/>
      <c r="G381" s="1"/>
    </row>
    <row r="382" customFormat="false" ht="15.75" hidden="false" customHeight="true" outlineLevel="0" collapsed="false">
      <c r="C382" s="1"/>
      <c r="D382" s="1"/>
      <c r="E382" s="1"/>
      <c r="F382" s="1"/>
      <c r="G382" s="1"/>
    </row>
    <row r="383" customFormat="false" ht="15.75" hidden="false" customHeight="true" outlineLevel="0" collapsed="false">
      <c r="C383" s="1"/>
      <c r="D383" s="1"/>
      <c r="E383" s="1"/>
      <c r="F383" s="1"/>
      <c r="G383" s="1"/>
    </row>
    <row r="384" customFormat="false" ht="15.75" hidden="false" customHeight="true" outlineLevel="0" collapsed="false">
      <c r="C384" s="1"/>
      <c r="D384" s="1"/>
      <c r="E384" s="1"/>
      <c r="F384" s="1"/>
      <c r="G384" s="1"/>
    </row>
    <row r="385" customFormat="false" ht="15.75" hidden="false" customHeight="true" outlineLevel="0" collapsed="false">
      <c r="C385" s="1"/>
      <c r="D385" s="1"/>
      <c r="E385" s="1"/>
      <c r="F385" s="1"/>
      <c r="G385" s="1"/>
    </row>
    <row r="386" customFormat="false" ht="15.75" hidden="false" customHeight="true" outlineLevel="0" collapsed="false">
      <c r="C386" s="1"/>
      <c r="D386" s="1"/>
      <c r="E386" s="1"/>
      <c r="F386" s="1"/>
      <c r="G386" s="1"/>
    </row>
    <row r="387" customFormat="false" ht="15.75" hidden="false" customHeight="true" outlineLevel="0" collapsed="false">
      <c r="C387" s="1"/>
      <c r="D387" s="1"/>
      <c r="E387" s="1"/>
      <c r="F387" s="1"/>
      <c r="G387" s="1"/>
    </row>
    <row r="388" customFormat="false" ht="15.75" hidden="false" customHeight="true" outlineLevel="0" collapsed="false">
      <c r="C388" s="1"/>
      <c r="D388" s="1"/>
      <c r="E388" s="1"/>
      <c r="F388" s="1"/>
      <c r="G388" s="1"/>
    </row>
    <row r="389" customFormat="false" ht="15.75" hidden="false" customHeight="true" outlineLevel="0" collapsed="false">
      <c r="C389" s="1"/>
      <c r="D389" s="1"/>
      <c r="E389" s="1"/>
      <c r="F389" s="1"/>
      <c r="G389" s="1"/>
    </row>
    <row r="390" customFormat="false" ht="15.75" hidden="false" customHeight="true" outlineLevel="0" collapsed="false">
      <c r="C390" s="1"/>
      <c r="D390" s="1"/>
      <c r="E390" s="1"/>
      <c r="F390" s="1"/>
      <c r="G390" s="1"/>
    </row>
    <row r="391" customFormat="false" ht="15.75" hidden="false" customHeight="true" outlineLevel="0" collapsed="false">
      <c r="C391" s="1"/>
      <c r="D391" s="1"/>
      <c r="E391" s="1"/>
      <c r="F391" s="1"/>
      <c r="G391" s="1"/>
    </row>
    <row r="392" customFormat="false" ht="15.75" hidden="false" customHeight="true" outlineLevel="0" collapsed="false">
      <c r="C392" s="1"/>
      <c r="D392" s="1"/>
      <c r="E392" s="1"/>
      <c r="F392" s="1"/>
      <c r="G392" s="1"/>
    </row>
    <row r="393" customFormat="false" ht="15.75" hidden="false" customHeight="true" outlineLevel="0" collapsed="false">
      <c r="C393" s="1"/>
      <c r="D393" s="1"/>
      <c r="E393" s="1"/>
      <c r="F393" s="1"/>
      <c r="G393" s="1"/>
    </row>
    <row r="394" customFormat="false" ht="15.75" hidden="false" customHeight="true" outlineLevel="0" collapsed="false">
      <c r="C394" s="1"/>
      <c r="D394" s="1"/>
      <c r="E394" s="1"/>
      <c r="F394" s="1"/>
      <c r="G394" s="1"/>
    </row>
    <row r="395" customFormat="false" ht="15.75" hidden="false" customHeight="true" outlineLevel="0" collapsed="false">
      <c r="C395" s="1"/>
      <c r="D395" s="1"/>
      <c r="E395" s="1"/>
      <c r="F395" s="1"/>
      <c r="G395" s="1"/>
    </row>
    <row r="396" customFormat="false" ht="15.75" hidden="false" customHeight="true" outlineLevel="0" collapsed="false">
      <c r="C396" s="1"/>
      <c r="D396" s="1"/>
      <c r="E396" s="1"/>
      <c r="F396" s="1"/>
      <c r="G396" s="1"/>
    </row>
    <row r="397" customFormat="false" ht="15.75" hidden="false" customHeight="true" outlineLevel="0" collapsed="false">
      <c r="C397" s="1"/>
      <c r="D397" s="1"/>
      <c r="E397" s="1"/>
      <c r="F397" s="1"/>
      <c r="G397" s="1"/>
    </row>
    <row r="398" customFormat="false" ht="15.75" hidden="false" customHeight="true" outlineLevel="0" collapsed="false">
      <c r="C398" s="1"/>
      <c r="D398" s="1"/>
      <c r="E398" s="1"/>
      <c r="F398" s="1"/>
      <c r="G398" s="1"/>
    </row>
    <row r="399" customFormat="false" ht="15.75" hidden="false" customHeight="true" outlineLevel="0" collapsed="false">
      <c r="C399" s="1"/>
      <c r="D399" s="1"/>
      <c r="E399" s="1"/>
      <c r="F399" s="1"/>
      <c r="G399" s="1"/>
    </row>
    <row r="400" customFormat="false" ht="15.75" hidden="false" customHeight="true" outlineLevel="0" collapsed="false">
      <c r="C400" s="1"/>
      <c r="D400" s="1"/>
      <c r="E400" s="1"/>
      <c r="F400" s="1"/>
      <c r="G400" s="1"/>
    </row>
    <row r="401" customFormat="false" ht="15.75" hidden="false" customHeight="true" outlineLevel="0" collapsed="false">
      <c r="C401" s="1"/>
      <c r="D401" s="1"/>
      <c r="E401" s="1"/>
      <c r="F401" s="1"/>
      <c r="G401" s="1"/>
    </row>
    <row r="402" customFormat="false" ht="15.75" hidden="false" customHeight="true" outlineLevel="0" collapsed="false">
      <c r="C402" s="1"/>
      <c r="D402" s="1"/>
      <c r="E402" s="1"/>
      <c r="F402" s="1"/>
      <c r="G402" s="1"/>
    </row>
    <row r="403" customFormat="false" ht="15.75" hidden="false" customHeight="true" outlineLevel="0" collapsed="false">
      <c r="C403" s="1"/>
      <c r="D403" s="1"/>
      <c r="E403" s="1"/>
      <c r="F403" s="1"/>
      <c r="G403" s="1"/>
    </row>
    <row r="404" customFormat="false" ht="15.75" hidden="false" customHeight="true" outlineLevel="0" collapsed="false">
      <c r="C404" s="1"/>
      <c r="D404" s="1"/>
      <c r="E404" s="1"/>
      <c r="F404" s="1"/>
      <c r="G404" s="1"/>
    </row>
    <row r="405" customFormat="false" ht="15.75" hidden="false" customHeight="true" outlineLevel="0" collapsed="false">
      <c r="C405" s="1"/>
      <c r="D405" s="1"/>
      <c r="E405" s="1"/>
      <c r="F405" s="1"/>
      <c r="G405" s="1"/>
    </row>
    <row r="406" customFormat="false" ht="15.75" hidden="false" customHeight="true" outlineLevel="0" collapsed="false">
      <c r="C406" s="1"/>
      <c r="D406" s="1"/>
      <c r="E406" s="1"/>
      <c r="F406" s="1"/>
      <c r="G406" s="1"/>
    </row>
    <row r="407" customFormat="false" ht="15.75" hidden="false" customHeight="true" outlineLevel="0" collapsed="false">
      <c r="C407" s="1"/>
      <c r="D407" s="1"/>
      <c r="E407" s="1"/>
      <c r="F407" s="1"/>
      <c r="G407" s="1"/>
    </row>
    <row r="408" customFormat="false" ht="15.75" hidden="false" customHeight="true" outlineLevel="0" collapsed="false">
      <c r="C408" s="1"/>
      <c r="D408" s="1"/>
      <c r="E408" s="1"/>
      <c r="F408" s="1"/>
      <c r="G408" s="1"/>
    </row>
    <row r="409" customFormat="false" ht="15.75" hidden="false" customHeight="true" outlineLevel="0" collapsed="false">
      <c r="C409" s="1"/>
      <c r="D409" s="1"/>
      <c r="E409" s="1"/>
      <c r="F409" s="1"/>
      <c r="G409" s="1"/>
    </row>
    <row r="410" customFormat="false" ht="15.75" hidden="false" customHeight="true" outlineLevel="0" collapsed="false">
      <c r="C410" s="1"/>
      <c r="D410" s="1"/>
      <c r="E410" s="1"/>
      <c r="F410" s="1"/>
      <c r="G410" s="1"/>
    </row>
    <row r="411" customFormat="false" ht="15.75" hidden="false" customHeight="true" outlineLevel="0" collapsed="false">
      <c r="C411" s="1"/>
      <c r="D411" s="1"/>
      <c r="E411" s="1"/>
      <c r="F411" s="1"/>
      <c r="G411" s="1"/>
    </row>
    <row r="412" customFormat="false" ht="15.75" hidden="false" customHeight="true" outlineLevel="0" collapsed="false">
      <c r="C412" s="1"/>
      <c r="D412" s="1"/>
      <c r="E412" s="1"/>
      <c r="F412" s="1"/>
      <c r="G412" s="1"/>
    </row>
    <row r="413" customFormat="false" ht="15.75" hidden="false" customHeight="true" outlineLevel="0" collapsed="false">
      <c r="C413" s="1"/>
      <c r="D413" s="1"/>
      <c r="E413" s="1"/>
      <c r="F413" s="1"/>
      <c r="G413" s="1"/>
    </row>
    <row r="414" customFormat="false" ht="15.75" hidden="false" customHeight="true" outlineLevel="0" collapsed="false">
      <c r="C414" s="1"/>
      <c r="D414" s="1"/>
      <c r="E414" s="1"/>
      <c r="F414" s="1"/>
      <c r="G414" s="1"/>
    </row>
    <row r="415" customFormat="false" ht="15.75" hidden="false" customHeight="true" outlineLevel="0" collapsed="false">
      <c r="C415" s="1"/>
      <c r="D415" s="1"/>
      <c r="E415" s="1"/>
      <c r="F415" s="1"/>
      <c r="G415" s="1"/>
    </row>
    <row r="416" customFormat="false" ht="15.75" hidden="false" customHeight="true" outlineLevel="0" collapsed="false">
      <c r="C416" s="1"/>
      <c r="D416" s="1"/>
      <c r="E416" s="1"/>
      <c r="F416" s="1"/>
      <c r="G416" s="1"/>
    </row>
    <row r="417" customFormat="false" ht="15.75" hidden="false" customHeight="true" outlineLevel="0" collapsed="false">
      <c r="C417" s="1"/>
      <c r="D417" s="1"/>
      <c r="E417" s="1"/>
      <c r="F417" s="1"/>
      <c r="G417" s="1"/>
    </row>
    <row r="418" customFormat="false" ht="15.75" hidden="false" customHeight="true" outlineLevel="0" collapsed="false">
      <c r="C418" s="1"/>
      <c r="D418" s="1"/>
      <c r="E418" s="1"/>
      <c r="F418" s="1"/>
      <c r="G418" s="1"/>
    </row>
    <row r="419" customFormat="false" ht="15.75" hidden="false" customHeight="true" outlineLevel="0" collapsed="false">
      <c r="C419" s="1"/>
      <c r="D419" s="1"/>
      <c r="E419" s="1"/>
      <c r="F419" s="1"/>
      <c r="G419" s="1"/>
    </row>
    <row r="420" customFormat="false" ht="15.75" hidden="false" customHeight="true" outlineLevel="0" collapsed="false">
      <c r="C420" s="1"/>
      <c r="D420" s="1"/>
      <c r="E420" s="1"/>
      <c r="F420" s="1"/>
      <c r="G420" s="1"/>
    </row>
    <row r="421" customFormat="false" ht="15.75" hidden="false" customHeight="true" outlineLevel="0" collapsed="false">
      <c r="C421" s="1"/>
      <c r="D421" s="1"/>
      <c r="E421" s="1"/>
      <c r="F421" s="1"/>
      <c r="G421" s="1"/>
    </row>
    <row r="422" customFormat="false" ht="15.75" hidden="false" customHeight="true" outlineLevel="0" collapsed="false">
      <c r="C422" s="1"/>
      <c r="D422" s="1"/>
      <c r="E422" s="1"/>
      <c r="F422" s="1"/>
      <c r="G422" s="1"/>
    </row>
    <row r="423" customFormat="false" ht="15.75" hidden="false" customHeight="true" outlineLevel="0" collapsed="false">
      <c r="C423" s="1"/>
      <c r="D423" s="1"/>
      <c r="E423" s="1"/>
      <c r="F423" s="1"/>
      <c r="G423" s="1"/>
    </row>
    <row r="424" customFormat="false" ht="15.75" hidden="false" customHeight="true" outlineLevel="0" collapsed="false">
      <c r="C424" s="1"/>
      <c r="D424" s="1"/>
      <c r="E424" s="1"/>
      <c r="F424" s="1"/>
      <c r="G424" s="1"/>
    </row>
    <row r="425" customFormat="false" ht="15.75" hidden="false" customHeight="true" outlineLevel="0" collapsed="false">
      <c r="C425" s="1"/>
      <c r="D425" s="1"/>
      <c r="E425" s="1"/>
      <c r="F425" s="1"/>
      <c r="G425" s="1"/>
    </row>
    <row r="426" customFormat="false" ht="15.75" hidden="false" customHeight="true" outlineLevel="0" collapsed="false">
      <c r="C426" s="1"/>
      <c r="D426" s="1"/>
      <c r="E426" s="1"/>
      <c r="F426" s="1"/>
      <c r="G426" s="1"/>
    </row>
    <row r="427" customFormat="false" ht="15.75" hidden="false" customHeight="true" outlineLevel="0" collapsed="false">
      <c r="C427" s="1"/>
      <c r="D427" s="1"/>
      <c r="E427" s="1"/>
      <c r="F427" s="1"/>
      <c r="G427" s="1"/>
    </row>
    <row r="428" customFormat="false" ht="15.75" hidden="false" customHeight="true" outlineLevel="0" collapsed="false">
      <c r="C428" s="1"/>
      <c r="D428" s="1"/>
      <c r="E428" s="1"/>
      <c r="F428" s="1"/>
      <c r="G428" s="1"/>
    </row>
    <row r="429" customFormat="false" ht="15.75" hidden="false" customHeight="true" outlineLevel="0" collapsed="false">
      <c r="C429" s="1"/>
      <c r="D429" s="1"/>
      <c r="E429" s="1"/>
      <c r="F429" s="1"/>
      <c r="G429" s="1"/>
    </row>
    <row r="430" customFormat="false" ht="15.75" hidden="false" customHeight="true" outlineLevel="0" collapsed="false">
      <c r="C430" s="1"/>
      <c r="D430" s="1"/>
      <c r="E430" s="1"/>
      <c r="F430" s="1"/>
      <c r="G430" s="1"/>
    </row>
    <row r="431" customFormat="false" ht="15.75" hidden="false" customHeight="true" outlineLevel="0" collapsed="false">
      <c r="C431" s="1"/>
      <c r="D431" s="1"/>
      <c r="E431" s="1"/>
      <c r="F431" s="1"/>
      <c r="G431" s="1"/>
    </row>
    <row r="432" customFormat="false" ht="15.75" hidden="false" customHeight="true" outlineLevel="0" collapsed="false">
      <c r="C432" s="1"/>
      <c r="D432" s="1"/>
      <c r="E432" s="1"/>
      <c r="F432" s="1"/>
      <c r="G432" s="1"/>
    </row>
    <row r="433" customFormat="false" ht="15.75" hidden="false" customHeight="true" outlineLevel="0" collapsed="false">
      <c r="C433" s="1"/>
      <c r="D433" s="1"/>
      <c r="E433" s="1"/>
      <c r="F433" s="1"/>
      <c r="G433" s="1"/>
    </row>
    <row r="434" customFormat="false" ht="15.75" hidden="false" customHeight="true" outlineLevel="0" collapsed="false">
      <c r="C434" s="1"/>
      <c r="D434" s="1"/>
      <c r="E434" s="1"/>
      <c r="F434" s="1"/>
      <c r="G434" s="1"/>
    </row>
    <row r="435" customFormat="false" ht="15.75" hidden="false" customHeight="true" outlineLevel="0" collapsed="false">
      <c r="C435" s="1"/>
      <c r="D435" s="1"/>
      <c r="E435" s="1"/>
      <c r="F435" s="1"/>
      <c r="G435" s="1"/>
    </row>
    <row r="436" customFormat="false" ht="15.75" hidden="false" customHeight="true" outlineLevel="0" collapsed="false">
      <c r="C436" s="1"/>
      <c r="D436" s="1"/>
      <c r="E436" s="1"/>
      <c r="F436" s="1"/>
      <c r="G436" s="1"/>
    </row>
    <row r="437" customFormat="false" ht="15.75" hidden="false" customHeight="true" outlineLevel="0" collapsed="false">
      <c r="C437" s="1"/>
      <c r="D437" s="1"/>
      <c r="E437" s="1"/>
      <c r="F437" s="1"/>
      <c r="G437" s="1"/>
    </row>
    <row r="438" customFormat="false" ht="15.75" hidden="false" customHeight="true" outlineLevel="0" collapsed="false">
      <c r="C438" s="1"/>
      <c r="D438" s="1"/>
      <c r="E438" s="1"/>
      <c r="F438" s="1"/>
      <c r="G438" s="1"/>
    </row>
    <row r="439" customFormat="false" ht="15.75" hidden="false" customHeight="true" outlineLevel="0" collapsed="false">
      <c r="C439" s="1"/>
      <c r="D439" s="1"/>
      <c r="E439" s="1"/>
      <c r="F439" s="1"/>
      <c r="G439" s="1"/>
    </row>
    <row r="440" customFormat="false" ht="15.75" hidden="false" customHeight="true" outlineLevel="0" collapsed="false">
      <c r="C440" s="1"/>
      <c r="D440" s="1"/>
      <c r="E440" s="1"/>
      <c r="F440" s="1"/>
      <c r="G440" s="1"/>
    </row>
    <row r="441" customFormat="false" ht="15.75" hidden="false" customHeight="true" outlineLevel="0" collapsed="false">
      <c r="C441" s="1"/>
      <c r="D441" s="1"/>
      <c r="E441" s="1"/>
      <c r="F441" s="1"/>
      <c r="G441" s="1"/>
    </row>
    <row r="442" customFormat="false" ht="15.75" hidden="false" customHeight="true" outlineLevel="0" collapsed="false">
      <c r="C442" s="1"/>
      <c r="D442" s="1"/>
      <c r="E442" s="1"/>
      <c r="F442" s="1"/>
      <c r="G442" s="1"/>
    </row>
    <row r="443" customFormat="false" ht="15.75" hidden="false" customHeight="true" outlineLevel="0" collapsed="false">
      <c r="C443" s="1"/>
      <c r="D443" s="1"/>
      <c r="E443" s="1"/>
      <c r="F443" s="1"/>
      <c r="G443" s="1"/>
    </row>
    <row r="444" customFormat="false" ht="15.75" hidden="false" customHeight="true" outlineLevel="0" collapsed="false">
      <c r="C444" s="1"/>
      <c r="D444" s="1"/>
      <c r="E444" s="1"/>
      <c r="F444" s="1"/>
      <c r="G444" s="1"/>
    </row>
    <row r="445" customFormat="false" ht="15.75" hidden="false" customHeight="true" outlineLevel="0" collapsed="false">
      <c r="C445" s="1"/>
      <c r="D445" s="1"/>
      <c r="E445" s="1"/>
      <c r="F445" s="1"/>
      <c r="G445" s="1"/>
    </row>
    <row r="446" customFormat="false" ht="15.75" hidden="false" customHeight="true" outlineLevel="0" collapsed="false">
      <c r="C446" s="1"/>
      <c r="D446" s="1"/>
      <c r="E446" s="1"/>
      <c r="F446" s="1"/>
      <c r="G446" s="1"/>
    </row>
    <row r="447" customFormat="false" ht="15.75" hidden="false" customHeight="true" outlineLevel="0" collapsed="false">
      <c r="C447" s="1"/>
      <c r="D447" s="1"/>
      <c r="E447" s="1"/>
      <c r="F447" s="1"/>
      <c r="G447" s="1"/>
    </row>
    <row r="448" customFormat="false" ht="15.75" hidden="false" customHeight="true" outlineLevel="0" collapsed="false">
      <c r="C448" s="1"/>
      <c r="D448" s="1"/>
      <c r="E448" s="1"/>
      <c r="F448" s="1"/>
      <c r="G448" s="1"/>
    </row>
    <row r="449" customFormat="false" ht="15.75" hidden="false" customHeight="true" outlineLevel="0" collapsed="false">
      <c r="C449" s="1"/>
      <c r="D449" s="1"/>
      <c r="E449" s="1"/>
      <c r="F449" s="1"/>
      <c r="G449" s="1"/>
    </row>
    <row r="450" customFormat="false" ht="15.75" hidden="false" customHeight="true" outlineLevel="0" collapsed="false">
      <c r="C450" s="1"/>
      <c r="D450" s="1"/>
      <c r="E450" s="1"/>
      <c r="F450" s="1"/>
      <c r="G450" s="1"/>
    </row>
    <row r="451" customFormat="false" ht="15.75" hidden="false" customHeight="true" outlineLevel="0" collapsed="false">
      <c r="C451" s="1"/>
      <c r="D451" s="1"/>
      <c r="E451" s="1"/>
      <c r="F451" s="1"/>
      <c r="G451" s="1"/>
    </row>
    <row r="452" customFormat="false" ht="15.75" hidden="false" customHeight="true" outlineLevel="0" collapsed="false">
      <c r="C452" s="1"/>
      <c r="D452" s="1"/>
      <c r="E452" s="1"/>
      <c r="F452" s="1"/>
      <c r="G452" s="1"/>
    </row>
    <row r="453" customFormat="false" ht="15.75" hidden="false" customHeight="true" outlineLevel="0" collapsed="false">
      <c r="C453" s="1"/>
      <c r="D453" s="1"/>
      <c r="E453" s="1"/>
      <c r="F453" s="1"/>
      <c r="G453" s="1"/>
    </row>
    <row r="454" customFormat="false" ht="15.75" hidden="false" customHeight="true" outlineLevel="0" collapsed="false">
      <c r="C454" s="1"/>
      <c r="D454" s="1"/>
      <c r="E454" s="1"/>
      <c r="F454" s="1"/>
      <c r="G454" s="1"/>
    </row>
    <row r="455" customFormat="false" ht="15.75" hidden="false" customHeight="true" outlineLevel="0" collapsed="false">
      <c r="C455" s="1"/>
      <c r="D455" s="1"/>
      <c r="E455" s="1"/>
      <c r="F455" s="1"/>
      <c r="G455" s="1"/>
    </row>
    <row r="456" customFormat="false" ht="15.75" hidden="false" customHeight="true" outlineLevel="0" collapsed="false">
      <c r="C456" s="1"/>
      <c r="D456" s="1"/>
      <c r="E456" s="1"/>
      <c r="F456" s="1"/>
      <c r="G456" s="1"/>
    </row>
    <row r="457" customFormat="false" ht="15.75" hidden="false" customHeight="true" outlineLevel="0" collapsed="false">
      <c r="C457" s="1"/>
      <c r="D457" s="1"/>
      <c r="E457" s="1"/>
      <c r="F457" s="1"/>
      <c r="G457" s="1"/>
    </row>
    <row r="458" customFormat="false" ht="15.75" hidden="false" customHeight="true" outlineLevel="0" collapsed="false">
      <c r="C458" s="1"/>
      <c r="D458" s="1"/>
      <c r="E458" s="1"/>
      <c r="F458" s="1"/>
      <c r="G458" s="1"/>
    </row>
    <row r="459" customFormat="false" ht="15.75" hidden="false" customHeight="true" outlineLevel="0" collapsed="false">
      <c r="C459" s="1"/>
      <c r="D459" s="1"/>
      <c r="E459" s="1"/>
      <c r="F459" s="1"/>
      <c r="G459" s="1"/>
    </row>
    <row r="460" customFormat="false" ht="15.75" hidden="false" customHeight="true" outlineLevel="0" collapsed="false">
      <c r="C460" s="1"/>
      <c r="D460" s="1"/>
      <c r="E460" s="1"/>
      <c r="F460" s="1"/>
      <c r="G460" s="1"/>
    </row>
    <row r="461" customFormat="false" ht="15.75" hidden="false" customHeight="true" outlineLevel="0" collapsed="false">
      <c r="C461" s="1"/>
      <c r="D461" s="1"/>
      <c r="E461" s="1"/>
      <c r="F461" s="1"/>
      <c r="G461" s="1"/>
    </row>
    <row r="462" customFormat="false" ht="15.75" hidden="false" customHeight="true" outlineLevel="0" collapsed="false">
      <c r="C462" s="1"/>
      <c r="D462" s="1"/>
      <c r="E462" s="1"/>
      <c r="F462" s="1"/>
      <c r="G462" s="1"/>
    </row>
    <row r="463" customFormat="false" ht="15.75" hidden="false" customHeight="true" outlineLevel="0" collapsed="false">
      <c r="C463" s="1"/>
      <c r="D463" s="1"/>
      <c r="E463" s="1"/>
      <c r="F463" s="1"/>
      <c r="G463" s="1"/>
    </row>
    <row r="464" customFormat="false" ht="15.75" hidden="false" customHeight="true" outlineLevel="0" collapsed="false">
      <c r="C464" s="1"/>
      <c r="D464" s="1"/>
      <c r="E464" s="1"/>
      <c r="F464" s="1"/>
      <c r="G464" s="1"/>
    </row>
    <row r="465" customFormat="false" ht="15.75" hidden="false" customHeight="true" outlineLevel="0" collapsed="false">
      <c r="C465" s="1"/>
      <c r="D465" s="1"/>
      <c r="E465" s="1"/>
      <c r="F465" s="1"/>
      <c r="G465" s="1"/>
    </row>
    <row r="466" customFormat="false" ht="15.75" hidden="false" customHeight="true" outlineLevel="0" collapsed="false">
      <c r="C466" s="1"/>
      <c r="D466" s="1"/>
      <c r="E466" s="1"/>
      <c r="F466" s="1"/>
      <c r="G466" s="1"/>
    </row>
    <row r="467" customFormat="false" ht="15.75" hidden="false" customHeight="true" outlineLevel="0" collapsed="false">
      <c r="C467" s="1"/>
      <c r="D467" s="1"/>
      <c r="E467" s="1"/>
      <c r="F467" s="1"/>
      <c r="G467" s="1"/>
    </row>
    <row r="468" customFormat="false" ht="15.75" hidden="false" customHeight="true" outlineLevel="0" collapsed="false">
      <c r="C468" s="1"/>
      <c r="D468" s="1"/>
      <c r="E468" s="1"/>
      <c r="F468" s="1"/>
      <c r="G468" s="1"/>
    </row>
    <row r="469" customFormat="false" ht="15.75" hidden="false" customHeight="true" outlineLevel="0" collapsed="false">
      <c r="C469" s="1"/>
      <c r="D469" s="1"/>
      <c r="E469" s="1"/>
      <c r="F469" s="1"/>
      <c r="G469" s="1"/>
    </row>
    <row r="470" customFormat="false" ht="15.75" hidden="false" customHeight="true" outlineLevel="0" collapsed="false">
      <c r="C470" s="1"/>
      <c r="D470" s="1"/>
      <c r="E470" s="1"/>
      <c r="F470" s="1"/>
      <c r="G470" s="1"/>
    </row>
    <row r="471" customFormat="false" ht="15.75" hidden="false" customHeight="true" outlineLevel="0" collapsed="false">
      <c r="C471" s="1"/>
      <c r="D471" s="1"/>
      <c r="E471" s="1"/>
      <c r="F471" s="1"/>
      <c r="G471" s="1"/>
    </row>
    <row r="472" customFormat="false" ht="15.75" hidden="false" customHeight="true" outlineLevel="0" collapsed="false">
      <c r="C472" s="1"/>
      <c r="D472" s="1"/>
      <c r="E472" s="1"/>
      <c r="F472" s="1"/>
      <c r="G472" s="1"/>
    </row>
    <row r="473" customFormat="false" ht="15.75" hidden="false" customHeight="true" outlineLevel="0" collapsed="false">
      <c r="C473" s="1"/>
      <c r="D473" s="1"/>
      <c r="E473" s="1"/>
      <c r="F473" s="1"/>
      <c r="G473" s="1"/>
    </row>
    <row r="474" customFormat="false" ht="15.75" hidden="false" customHeight="true" outlineLevel="0" collapsed="false">
      <c r="C474" s="1"/>
      <c r="D474" s="1"/>
      <c r="E474" s="1"/>
      <c r="F474" s="1"/>
      <c r="G474" s="1"/>
    </row>
    <row r="475" customFormat="false" ht="15.75" hidden="false" customHeight="true" outlineLevel="0" collapsed="false">
      <c r="C475" s="1"/>
      <c r="D475" s="1"/>
      <c r="E475" s="1"/>
      <c r="F475" s="1"/>
      <c r="G475" s="1"/>
    </row>
    <row r="476" customFormat="false" ht="15.75" hidden="false" customHeight="true" outlineLevel="0" collapsed="false">
      <c r="C476" s="1"/>
      <c r="D476" s="1"/>
      <c r="E476" s="1"/>
      <c r="F476" s="1"/>
      <c r="G476" s="1"/>
    </row>
    <row r="477" customFormat="false" ht="15.75" hidden="false" customHeight="true" outlineLevel="0" collapsed="false">
      <c r="C477" s="1"/>
      <c r="D477" s="1"/>
      <c r="E477" s="1"/>
      <c r="F477" s="1"/>
      <c r="G477" s="1"/>
    </row>
    <row r="478" customFormat="false" ht="15.75" hidden="false" customHeight="true" outlineLevel="0" collapsed="false">
      <c r="C478" s="1"/>
      <c r="D478" s="1"/>
      <c r="E478" s="1"/>
      <c r="F478" s="1"/>
      <c r="G478" s="1"/>
    </row>
    <row r="479" customFormat="false" ht="15.75" hidden="false" customHeight="true" outlineLevel="0" collapsed="false">
      <c r="C479" s="1"/>
      <c r="D479" s="1"/>
      <c r="E479" s="1"/>
      <c r="F479" s="1"/>
      <c r="G479" s="1"/>
    </row>
    <row r="480" customFormat="false" ht="15.75" hidden="false" customHeight="true" outlineLevel="0" collapsed="false">
      <c r="C480" s="1"/>
      <c r="D480" s="1"/>
      <c r="E480" s="1"/>
      <c r="F480" s="1"/>
      <c r="G480" s="1"/>
    </row>
    <row r="481" customFormat="false" ht="15.75" hidden="false" customHeight="true" outlineLevel="0" collapsed="false">
      <c r="C481" s="1"/>
      <c r="D481" s="1"/>
      <c r="E481" s="1"/>
      <c r="F481" s="1"/>
      <c r="G481" s="1"/>
    </row>
    <row r="482" customFormat="false" ht="15.75" hidden="false" customHeight="true" outlineLevel="0" collapsed="false">
      <c r="C482" s="1"/>
      <c r="D482" s="1"/>
      <c r="E482" s="1"/>
      <c r="F482" s="1"/>
      <c r="G482" s="1"/>
    </row>
    <row r="483" customFormat="false" ht="15.75" hidden="false" customHeight="true" outlineLevel="0" collapsed="false">
      <c r="C483" s="1"/>
      <c r="D483" s="1"/>
      <c r="E483" s="1"/>
      <c r="F483" s="1"/>
      <c r="G483" s="1"/>
    </row>
    <row r="484" customFormat="false" ht="15.75" hidden="false" customHeight="true" outlineLevel="0" collapsed="false">
      <c r="C484" s="1"/>
      <c r="D484" s="1"/>
      <c r="E484" s="1"/>
      <c r="F484" s="1"/>
      <c r="G484" s="1"/>
    </row>
    <row r="485" customFormat="false" ht="15.75" hidden="false" customHeight="true" outlineLevel="0" collapsed="false">
      <c r="C485" s="1"/>
      <c r="D485" s="1"/>
      <c r="E485" s="1"/>
      <c r="F485" s="1"/>
      <c r="G485" s="1"/>
    </row>
    <row r="486" customFormat="false" ht="15.75" hidden="false" customHeight="true" outlineLevel="0" collapsed="false">
      <c r="C486" s="1"/>
      <c r="D486" s="1"/>
      <c r="E486" s="1"/>
      <c r="F486" s="1"/>
      <c r="G486" s="1"/>
    </row>
    <row r="487" customFormat="false" ht="15.75" hidden="false" customHeight="true" outlineLevel="0" collapsed="false">
      <c r="C487" s="1"/>
      <c r="D487" s="1"/>
      <c r="E487" s="1"/>
      <c r="F487" s="1"/>
      <c r="G487" s="1"/>
    </row>
    <row r="488" customFormat="false" ht="15.75" hidden="false" customHeight="true" outlineLevel="0" collapsed="false">
      <c r="C488" s="1"/>
      <c r="D488" s="1"/>
      <c r="E488" s="1"/>
      <c r="F488" s="1"/>
      <c r="G488" s="1"/>
    </row>
    <row r="489" customFormat="false" ht="15.75" hidden="false" customHeight="true" outlineLevel="0" collapsed="false">
      <c r="C489" s="1"/>
      <c r="D489" s="1"/>
      <c r="E489" s="1"/>
      <c r="F489" s="1"/>
      <c r="G489" s="1"/>
    </row>
    <row r="490" customFormat="false" ht="15.75" hidden="false" customHeight="true" outlineLevel="0" collapsed="false">
      <c r="C490" s="1"/>
      <c r="D490" s="1"/>
      <c r="E490" s="1"/>
      <c r="F490" s="1"/>
      <c r="G490" s="1"/>
    </row>
    <row r="491" customFormat="false" ht="15.75" hidden="false" customHeight="true" outlineLevel="0" collapsed="false">
      <c r="C491" s="1"/>
      <c r="D491" s="1"/>
      <c r="E491" s="1"/>
      <c r="F491" s="1"/>
      <c r="G491" s="1"/>
    </row>
    <row r="492" customFormat="false" ht="15.75" hidden="false" customHeight="true" outlineLevel="0" collapsed="false">
      <c r="C492" s="1"/>
      <c r="D492" s="1"/>
      <c r="E492" s="1"/>
      <c r="F492" s="1"/>
      <c r="G492" s="1"/>
    </row>
    <row r="493" customFormat="false" ht="15.75" hidden="false" customHeight="true" outlineLevel="0" collapsed="false">
      <c r="C493" s="1"/>
      <c r="D493" s="1"/>
      <c r="E493" s="1"/>
      <c r="F493" s="1"/>
      <c r="G493" s="1"/>
    </row>
    <row r="494" customFormat="false" ht="15.75" hidden="false" customHeight="true" outlineLevel="0" collapsed="false">
      <c r="C494" s="1"/>
      <c r="D494" s="1"/>
      <c r="E494" s="1"/>
      <c r="F494" s="1"/>
      <c r="G494" s="1"/>
    </row>
    <row r="495" customFormat="false" ht="15.75" hidden="false" customHeight="true" outlineLevel="0" collapsed="false">
      <c r="C495" s="1"/>
      <c r="D495" s="1"/>
      <c r="E495" s="1"/>
      <c r="F495" s="1"/>
      <c r="G495" s="1"/>
    </row>
    <row r="496" customFormat="false" ht="15.75" hidden="false" customHeight="true" outlineLevel="0" collapsed="false">
      <c r="C496" s="1"/>
      <c r="D496" s="1"/>
      <c r="E496" s="1"/>
      <c r="F496" s="1"/>
      <c r="G496" s="1"/>
    </row>
    <row r="497" customFormat="false" ht="15.75" hidden="false" customHeight="true" outlineLevel="0" collapsed="false">
      <c r="C497" s="1"/>
      <c r="D497" s="1"/>
      <c r="E497" s="1"/>
      <c r="F497" s="1"/>
      <c r="G497" s="1"/>
    </row>
    <row r="498" customFormat="false" ht="15.75" hidden="false" customHeight="true" outlineLevel="0" collapsed="false">
      <c r="C498" s="1"/>
      <c r="D498" s="1"/>
      <c r="E498" s="1"/>
      <c r="F498" s="1"/>
      <c r="G498" s="1"/>
    </row>
    <row r="499" customFormat="false" ht="15.75" hidden="false" customHeight="true" outlineLevel="0" collapsed="false">
      <c r="C499" s="1"/>
      <c r="D499" s="1"/>
      <c r="E499" s="1"/>
      <c r="F499" s="1"/>
      <c r="G499" s="1"/>
    </row>
    <row r="500" customFormat="false" ht="15.75" hidden="false" customHeight="true" outlineLevel="0" collapsed="false">
      <c r="C500" s="1"/>
      <c r="D500" s="1"/>
      <c r="E500" s="1"/>
      <c r="F500" s="1"/>
      <c r="G500" s="1"/>
    </row>
    <row r="501" customFormat="false" ht="15.75" hidden="false" customHeight="true" outlineLevel="0" collapsed="false">
      <c r="C501" s="1"/>
      <c r="D501" s="1"/>
      <c r="E501" s="1"/>
      <c r="F501" s="1"/>
      <c r="G501" s="1"/>
    </row>
    <row r="502" customFormat="false" ht="15.75" hidden="false" customHeight="true" outlineLevel="0" collapsed="false">
      <c r="C502" s="1"/>
      <c r="D502" s="1"/>
      <c r="E502" s="1"/>
      <c r="F502" s="1"/>
      <c r="G502" s="1"/>
    </row>
    <row r="503" customFormat="false" ht="15.75" hidden="false" customHeight="true" outlineLevel="0" collapsed="false">
      <c r="C503" s="1"/>
      <c r="D503" s="1"/>
      <c r="E503" s="1"/>
      <c r="F503" s="1"/>
      <c r="G503" s="1"/>
    </row>
    <row r="504" customFormat="false" ht="15.75" hidden="false" customHeight="true" outlineLevel="0" collapsed="false">
      <c r="C504" s="1"/>
      <c r="D504" s="1"/>
      <c r="E504" s="1"/>
      <c r="F504" s="1"/>
      <c r="G504" s="1"/>
    </row>
    <row r="505" customFormat="false" ht="15.75" hidden="false" customHeight="true" outlineLevel="0" collapsed="false">
      <c r="C505" s="1"/>
      <c r="D505" s="1"/>
      <c r="E505" s="1"/>
      <c r="F505" s="1"/>
      <c r="G505" s="1"/>
    </row>
    <row r="506" customFormat="false" ht="15.75" hidden="false" customHeight="true" outlineLevel="0" collapsed="false">
      <c r="C506" s="1"/>
      <c r="D506" s="1"/>
      <c r="E506" s="1"/>
      <c r="F506" s="1"/>
      <c r="G506" s="1"/>
    </row>
    <row r="507" customFormat="false" ht="15.75" hidden="false" customHeight="true" outlineLevel="0" collapsed="false">
      <c r="C507" s="1"/>
      <c r="D507" s="1"/>
      <c r="E507" s="1"/>
      <c r="F507" s="1"/>
      <c r="G507" s="1"/>
    </row>
    <row r="508" customFormat="false" ht="15.75" hidden="false" customHeight="true" outlineLevel="0" collapsed="false">
      <c r="C508" s="1"/>
      <c r="D508" s="1"/>
      <c r="E508" s="1"/>
      <c r="F508" s="1"/>
      <c r="G508" s="1"/>
    </row>
    <row r="509" customFormat="false" ht="15.75" hidden="false" customHeight="true" outlineLevel="0" collapsed="false">
      <c r="C509" s="1"/>
      <c r="D509" s="1"/>
      <c r="E509" s="1"/>
      <c r="F509" s="1"/>
      <c r="G509" s="1"/>
    </row>
    <row r="510" customFormat="false" ht="15.75" hidden="false" customHeight="true" outlineLevel="0" collapsed="false">
      <c r="C510" s="1"/>
      <c r="D510" s="1"/>
      <c r="E510" s="1"/>
      <c r="F510" s="1"/>
      <c r="G510" s="1"/>
    </row>
    <row r="511" customFormat="false" ht="15.75" hidden="false" customHeight="true" outlineLevel="0" collapsed="false">
      <c r="C511" s="1"/>
      <c r="D511" s="1"/>
      <c r="E511" s="1"/>
      <c r="F511" s="1"/>
      <c r="G511" s="1"/>
    </row>
    <row r="512" customFormat="false" ht="15.75" hidden="false" customHeight="true" outlineLevel="0" collapsed="false">
      <c r="C512" s="1"/>
      <c r="D512" s="1"/>
      <c r="E512" s="1"/>
      <c r="F512" s="1"/>
      <c r="G512" s="1"/>
    </row>
    <row r="513" customFormat="false" ht="15.75" hidden="false" customHeight="true" outlineLevel="0" collapsed="false">
      <c r="C513" s="1"/>
      <c r="D513" s="1"/>
      <c r="E513" s="1"/>
      <c r="F513" s="1"/>
      <c r="G513" s="1"/>
    </row>
    <row r="514" customFormat="false" ht="15.75" hidden="false" customHeight="true" outlineLevel="0" collapsed="false">
      <c r="C514" s="1"/>
      <c r="D514" s="1"/>
      <c r="E514" s="1"/>
      <c r="F514" s="1"/>
      <c r="G514" s="1"/>
    </row>
    <row r="515" customFormat="false" ht="15.75" hidden="false" customHeight="true" outlineLevel="0" collapsed="false">
      <c r="C515" s="1"/>
      <c r="D515" s="1"/>
      <c r="E515" s="1"/>
      <c r="F515" s="1"/>
      <c r="G515" s="1"/>
    </row>
    <row r="516" customFormat="false" ht="15.75" hidden="false" customHeight="true" outlineLevel="0" collapsed="false">
      <c r="C516" s="1"/>
      <c r="D516" s="1"/>
      <c r="E516" s="1"/>
      <c r="F516" s="1"/>
      <c r="G516" s="1"/>
    </row>
    <row r="517" customFormat="false" ht="15.75" hidden="false" customHeight="true" outlineLevel="0" collapsed="false">
      <c r="C517" s="1"/>
      <c r="D517" s="1"/>
      <c r="E517" s="1"/>
      <c r="F517" s="1"/>
      <c r="G517" s="1"/>
    </row>
    <row r="518" customFormat="false" ht="15.75" hidden="false" customHeight="true" outlineLevel="0" collapsed="false">
      <c r="C518" s="1"/>
      <c r="D518" s="1"/>
      <c r="E518" s="1"/>
      <c r="F518" s="1"/>
      <c r="G518" s="1"/>
    </row>
    <row r="519" customFormat="false" ht="15.75" hidden="false" customHeight="true" outlineLevel="0" collapsed="false">
      <c r="C519" s="1"/>
      <c r="D519" s="1"/>
      <c r="E519" s="1"/>
      <c r="F519" s="1"/>
      <c r="G519" s="1"/>
    </row>
    <row r="520" customFormat="false" ht="15.75" hidden="false" customHeight="true" outlineLevel="0" collapsed="false">
      <c r="C520" s="1"/>
      <c r="D520" s="1"/>
      <c r="E520" s="1"/>
      <c r="F520" s="1"/>
      <c r="G520" s="1"/>
    </row>
    <row r="521" customFormat="false" ht="15.75" hidden="false" customHeight="true" outlineLevel="0" collapsed="false">
      <c r="C521" s="1"/>
      <c r="D521" s="1"/>
      <c r="E521" s="1"/>
      <c r="F521" s="1"/>
      <c r="G521" s="1"/>
    </row>
    <row r="522" customFormat="false" ht="15.75" hidden="false" customHeight="true" outlineLevel="0" collapsed="false">
      <c r="C522" s="1"/>
      <c r="D522" s="1"/>
      <c r="E522" s="1"/>
      <c r="F522" s="1"/>
      <c r="G522" s="1"/>
    </row>
    <row r="523" customFormat="false" ht="15.75" hidden="false" customHeight="true" outlineLevel="0" collapsed="false">
      <c r="C523" s="1"/>
      <c r="D523" s="1"/>
      <c r="E523" s="1"/>
      <c r="F523" s="1"/>
      <c r="G523" s="1"/>
    </row>
    <row r="524" customFormat="false" ht="15.75" hidden="false" customHeight="true" outlineLevel="0" collapsed="false">
      <c r="C524" s="1"/>
      <c r="D524" s="1"/>
      <c r="E524" s="1"/>
      <c r="F524" s="1"/>
      <c r="G524" s="1"/>
    </row>
    <row r="525" customFormat="false" ht="15.75" hidden="false" customHeight="true" outlineLevel="0" collapsed="false">
      <c r="C525" s="1"/>
      <c r="D525" s="1"/>
      <c r="E525" s="1"/>
      <c r="F525" s="1"/>
      <c r="G525" s="1"/>
    </row>
    <row r="526" customFormat="false" ht="15.75" hidden="false" customHeight="true" outlineLevel="0" collapsed="false">
      <c r="C526" s="1"/>
      <c r="D526" s="1"/>
      <c r="E526" s="1"/>
      <c r="F526" s="1"/>
      <c r="G526" s="1"/>
    </row>
    <row r="527" customFormat="false" ht="15.75" hidden="false" customHeight="true" outlineLevel="0" collapsed="false">
      <c r="C527" s="1"/>
      <c r="D527" s="1"/>
      <c r="E527" s="1"/>
      <c r="F527" s="1"/>
      <c r="G527" s="1"/>
    </row>
    <row r="528" customFormat="false" ht="15.75" hidden="false" customHeight="true" outlineLevel="0" collapsed="false">
      <c r="C528" s="1"/>
      <c r="D528" s="1"/>
      <c r="E528" s="1"/>
      <c r="F528" s="1"/>
      <c r="G528" s="1"/>
    </row>
    <row r="529" customFormat="false" ht="15.75" hidden="false" customHeight="true" outlineLevel="0" collapsed="false">
      <c r="C529" s="1"/>
      <c r="D529" s="1"/>
      <c r="E529" s="1"/>
      <c r="F529" s="1"/>
      <c r="G529" s="1"/>
    </row>
    <row r="530" customFormat="false" ht="15.75" hidden="false" customHeight="true" outlineLevel="0" collapsed="false">
      <c r="C530" s="1"/>
      <c r="D530" s="1"/>
      <c r="E530" s="1"/>
      <c r="F530" s="1"/>
      <c r="G530" s="1"/>
    </row>
    <row r="531" customFormat="false" ht="15.75" hidden="false" customHeight="true" outlineLevel="0" collapsed="false">
      <c r="C531" s="1"/>
      <c r="D531" s="1"/>
      <c r="E531" s="1"/>
      <c r="F531" s="1"/>
      <c r="G531" s="1"/>
    </row>
    <row r="532" customFormat="false" ht="15.75" hidden="false" customHeight="true" outlineLevel="0" collapsed="false">
      <c r="C532" s="1"/>
      <c r="D532" s="1"/>
      <c r="E532" s="1"/>
      <c r="F532" s="1"/>
      <c r="G532" s="1"/>
    </row>
    <row r="533" customFormat="false" ht="15.75" hidden="false" customHeight="true" outlineLevel="0" collapsed="false">
      <c r="C533" s="1"/>
      <c r="D533" s="1"/>
      <c r="E533" s="1"/>
      <c r="F533" s="1"/>
      <c r="G533" s="1"/>
    </row>
    <row r="534" customFormat="false" ht="15.75" hidden="false" customHeight="true" outlineLevel="0" collapsed="false">
      <c r="C534" s="1"/>
      <c r="D534" s="1"/>
      <c r="E534" s="1"/>
      <c r="F534" s="1"/>
      <c r="G534" s="1"/>
    </row>
    <row r="535" customFormat="false" ht="15.75" hidden="false" customHeight="true" outlineLevel="0" collapsed="false">
      <c r="C535" s="1"/>
      <c r="D535" s="1"/>
      <c r="E535" s="1"/>
      <c r="F535" s="1"/>
      <c r="G535" s="1"/>
    </row>
    <row r="536" customFormat="false" ht="15.75" hidden="false" customHeight="true" outlineLevel="0" collapsed="false">
      <c r="C536" s="1"/>
      <c r="D536" s="1"/>
      <c r="E536" s="1"/>
      <c r="F536" s="1"/>
      <c r="G536" s="1"/>
    </row>
    <row r="537" customFormat="false" ht="15.75" hidden="false" customHeight="true" outlineLevel="0" collapsed="false">
      <c r="C537" s="1"/>
      <c r="D537" s="1"/>
      <c r="E537" s="1"/>
      <c r="F537" s="1"/>
      <c r="G537" s="1"/>
    </row>
    <row r="538" customFormat="false" ht="15.75" hidden="false" customHeight="true" outlineLevel="0" collapsed="false">
      <c r="C538" s="1"/>
      <c r="D538" s="1"/>
      <c r="E538" s="1"/>
      <c r="F538" s="1"/>
      <c r="G538" s="1"/>
    </row>
    <row r="539" customFormat="false" ht="15.75" hidden="false" customHeight="true" outlineLevel="0" collapsed="false">
      <c r="C539" s="1"/>
      <c r="D539" s="1"/>
      <c r="E539" s="1"/>
      <c r="F539" s="1"/>
      <c r="G539" s="1"/>
    </row>
    <row r="540" customFormat="false" ht="15.75" hidden="false" customHeight="true" outlineLevel="0" collapsed="false">
      <c r="C540" s="1"/>
      <c r="D540" s="1"/>
      <c r="E540" s="1"/>
      <c r="F540" s="1"/>
      <c r="G540" s="1"/>
    </row>
    <row r="541" customFormat="false" ht="15.75" hidden="false" customHeight="true" outlineLevel="0" collapsed="false">
      <c r="C541" s="1"/>
      <c r="D541" s="1"/>
      <c r="E541" s="1"/>
      <c r="F541" s="1"/>
      <c r="G541" s="1"/>
    </row>
    <row r="542" customFormat="false" ht="15.75" hidden="false" customHeight="true" outlineLevel="0" collapsed="false">
      <c r="C542" s="1"/>
      <c r="D542" s="1"/>
      <c r="E542" s="1"/>
      <c r="F542" s="1"/>
      <c r="G542" s="1"/>
    </row>
    <row r="543" customFormat="false" ht="15.75" hidden="false" customHeight="true" outlineLevel="0" collapsed="false">
      <c r="C543" s="1"/>
      <c r="D543" s="1"/>
      <c r="E543" s="1"/>
      <c r="F543" s="1"/>
      <c r="G543" s="1"/>
    </row>
    <row r="544" customFormat="false" ht="15.75" hidden="false" customHeight="true" outlineLevel="0" collapsed="false">
      <c r="C544" s="1"/>
      <c r="D544" s="1"/>
      <c r="E544" s="1"/>
      <c r="F544" s="1"/>
      <c r="G544" s="1"/>
    </row>
    <row r="545" customFormat="false" ht="15.75" hidden="false" customHeight="true" outlineLevel="0" collapsed="false">
      <c r="C545" s="1"/>
      <c r="D545" s="1"/>
      <c r="E545" s="1"/>
      <c r="F545" s="1"/>
      <c r="G545" s="1"/>
    </row>
    <row r="546" customFormat="false" ht="15.75" hidden="false" customHeight="true" outlineLevel="0" collapsed="false">
      <c r="C546" s="1"/>
      <c r="D546" s="1"/>
      <c r="E546" s="1"/>
      <c r="F546" s="1"/>
      <c r="G546" s="1"/>
    </row>
    <row r="547" customFormat="false" ht="15.75" hidden="false" customHeight="true" outlineLevel="0" collapsed="false">
      <c r="C547" s="1"/>
      <c r="D547" s="1"/>
      <c r="E547" s="1"/>
      <c r="F547" s="1"/>
      <c r="G547" s="1"/>
    </row>
    <row r="548" customFormat="false" ht="15.75" hidden="false" customHeight="true" outlineLevel="0" collapsed="false">
      <c r="C548" s="1"/>
      <c r="D548" s="1"/>
      <c r="E548" s="1"/>
      <c r="F548" s="1"/>
      <c r="G548" s="1"/>
    </row>
    <row r="549" customFormat="false" ht="15.75" hidden="false" customHeight="true" outlineLevel="0" collapsed="false">
      <c r="C549" s="1"/>
      <c r="D549" s="1"/>
      <c r="E549" s="1"/>
      <c r="F549" s="1"/>
      <c r="G549" s="1"/>
    </row>
    <row r="550" customFormat="false" ht="15.75" hidden="false" customHeight="true" outlineLevel="0" collapsed="false">
      <c r="C550" s="1"/>
      <c r="D550" s="1"/>
      <c r="E550" s="1"/>
      <c r="F550" s="1"/>
      <c r="G550" s="1"/>
    </row>
    <row r="551" customFormat="false" ht="15.75" hidden="false" customHeight="true" outlineLevel="0" collapsed="false">
      <c r="C551" s="1"/>
      <c r="D551" s="1"/>
      <c r="E551" s="1"/>
      <c r="F551" s="1"/>
      <c r="G551" s="1"/>
    </row>
    <row r="552" customFormat="false" ht="15.75" hidden="false" customHeight="true" outlineLevel="0" collapsed="false">
      <c r="C552" s="1"/>
      <c r="D552" s="1"/>
      <c r="E552" s="1"/>
      <c r="F552" s="1"/>
      <c r="G552" s="1"/>
    </row>
    <row r="553" customFormat="false" ht="15.75" hidden="false" customHeight="true" outlineLevel="0" collapsed="false">
      <c r="C553" s="1"/>
      <c r="D553" s="1"/>
      <c r="E553" s="1"/>
      <c r="F553" s="1"/>
      <c r="G553" s="1"/>
    </row>
    <row r="554" customFormat="false" ht="15.75" hidden="false" customHeight="true" outlineLevel="0" collapsed="false">
      <c r="C554" s="1"/>
      <c r="D554" s="1"/>
      <c r="E554" s="1"/>
      <c r="F554" s="1"/>
      <c r="G554" s="1"/>
    </row>
    <row r="555" customFormat="false" ht="15.75" hidden="false" customHeight="true" outlineLevel="0" collapsed="false">
      <c r="C555" s="1"/>
      <c r="D555" s="1"/>
      <c r="E555" s="1"/>
      <c r="F555" s="1"/>
      <c r="G555" s="1"/>
    </row>
    <row r="556" customFormat="false" ht="15.75" hidden="false" customHeight="true" outlineLevel="0" collapsed="false">
      <c r="C556" s="1"/>
      <c r="D556" s="1"/>
      <c r="E556" s="1"/>
      <c r="F556" s="1"/>
      <c r="G556" s="1"/>
    </row>
    <row r="557" customFormat="false" ht="15.75" hidden="false" customHeight="true" outlineLevel="0" collapsed="false">
      <c r="C557" s="1"/>
      <c r="D557" s="1"/>
      <c r="E557" s="1"/>
      <c r="F557" s="1"/>
      <c r="G557" s="1"/>
    </row>
    <row r="558" customFormat="false" ht="15.75" hidden="false" customHeight="true" outlineLevel="0" collapsed="false">
      <c r="C558" s="1"/>
      <c r="D558" s="1"/>
      <c r="E558" s="1"/>
      <c r="F558" s="1"/>
      <c r="G558" s="1"/>
    </row>
    <row r="559" customFormat="false" ht="15.75" hidden="false" customHeight="true" outlineLevel="0" collapsed="false">
      <c r="C559" s="1"/>
      <c r="D559" s="1"/>
      <c r="E559" s="1"/>
      <c r="F559" s="1"/>
      <c r="G559" s="1"/>
    </row>
    <row r="560" customFormat="false" ht="15.75" hidden="false" customHeight="true" outlineLevel="0" collapsed="false">
      <c r="C560" s="1"/>
      <c r="D560" s="1"/>
      <c r="E560" s="1"/>
      <c r="F560" s="1"/>
      <c r="G560" s="1"/>
    </row>
    <row r="561" customFormat="false" ht="15.75" hidden="false" customHeight="true" outlineLevel="0" collapsed="false">
      <c r="C561" s="1"/>
      <c r="D561" s="1"/>
      <c r="E561" s="1"/>
      <c r="F561" s="1"/>
      <c r="G561" s="1"/>
    </row>
    <row r="562" customFormat="false" ht="15.75" hidden="false" customHeight="true" outlineLevel="0" collapsed="false">
      <c r="C562" s="1"/>
      <c r="D562" s="1"/>
      <c r="E562" s="1"/>
      <c r="F562" s="1"/>
      <c r="G562" s="1"/>
    </row>
    <row r="563" customFormat="false" ht="15.75" hidden="false" customHeight="true" outlineLevel="0" collapsed="false">
      <c r="C563" s="1"/>
      <c r="D563" s="1"/>
      <c r="E563" s="1"/>
      <c r="F563" s="1"/>
      <c r="G563" s="1"/>
    </row>
    <row r="564" customFormat="false" ht="15.75" hidden="false" customHeight="true" outlineLevel="0" collapsed="false">
      <c r="C564" s="1"/>
      <c r="D564" s="1"/>
      <c r="E564" s="1"/>
      <c r="F564" s="1"/>
      <c r="G564" s="1"/>
    </row>
    <row r="565" customFormat="false" ht="15.75" hidden="false" customHeight="true" outlineLevel="0" collapsed="false">
      <c r="C565" s="1"/>
      <c r="D565" s="1"/>
      <c r="E565" s="1"/>
      <c r="F565" s="1"/>
      <c r="G565" s="1"/>
    </row>
    <row r="566" customFormat="false" ht="15.75" hidden="false" customHeight="true" outlineLevel="0" collapsed="false">
      <c r="C566" s="1"/>
      <c r="D566" s="1"/>
      <c r="E566" s="1"/>
      <c r="F566" s="1"/>
      <c r="G566" s="1"/>
    </row>
    <row r="567" customFormat="false" ht="15.75" hidden="false" customHeight="true" outlineLevel="0" collapsed="false">
      <c r="C567" s="1"/>
      <c r="D567" s="1"/>
      <c r="E567" s="1"/>
      <c r="F567" s="1"/>
      <c r="G567" s="1"/>
    </row>
    <row r="568" customFormat="false" ht="15.75" hidden="false" customHeight="true" outlineLevel="0" collapsed="false">
      <c r="C568" s="1"/>
      <c r="D568" s="1"/>
      <c r="E568" s="1"/>
      <c r="F568" s="1"/>
      <c r="G568" s="1"/>
    </row>
    <row r="569" customFormat="false" ht="15.75" hidden="false" customHeight="true" outlineLevel="0" collapsed="false">
      <c r="C569" s="1"/>
      <c r="D569" s="1"/>
      <c r="E569" s="1"/>
      <c r="F569" s="1"/>
      <c r="G569" s="1"/>
    </row>
    <row r="570" customFormat="false" ht="15.75" hidden="false" customHeight="true" outlineLevel="0" collapsed="false">
      <c r="C570" s="1"/>
      <c r="D570" s="1"/>
      <c r="E570" s="1"/>
      <c r="F570" s="1"/>
      <c r="G570" s="1"/>
    </row>
    <row r="571" customFormat="false" ht="15.75" hidden="false" customHeight="true" outlineLevel="0" collapsed="false">
      <c r="C571" s="1"/>
      <c r="D571" s="1"/>
      <c r="E571" s="1"/>
      <c r="F571" s="1"/>
      <c r="G571" s="1"/>
    </row>
    <row r="572" customFormat="false" ht="15.75" hidden="false" customHeight="true" outlineLevel="0" collapsed="false">
      <c r="C572" s="1"/>
      <c r="D572" s="1"/>
      <c r="E572" s="1"/>
      <c r="F572" s="1"/>
      <c r="G572" s="1"/>
    </row>
    <row r="573" customFormat="false" ht="15.75" hidden="false" customHeight="true" outlineLevel="0" collapsed="false">
      <c r="C573" s="1"/>
      <c r="D573" s="1"/>
      <c r="E573" s="1"/>
      <c r="F573" s="1"/>
      <c r="G573" s="1"/>
    </row>
    <row r="574" customFormat="false" ht="15.75" hidden="false" customHeight="true" outlineLevel="0" collapsed="false">
      <c r="C574" s="1"/>
      <c r="D574" s="1"/>
      <c r="E574" s="1"/>
      <c r="F574" s="1"/>
      <c r="G574" s="1"/>
    </row>
    <row r="575" customFormat="false" ht="15.75" hidden="false" customHeight="true" outlineLevel="0" collapsed="false">
      <c r="C575" s="1"/>
      <c r="D575" s="1"/>
      <c r="E575" s="1"/>
      <c r="F575" s="1"/>
      <c r="G575" s="1"/>
    </row>
    <row r="576" customFormat="false" ht="15.75" hidden="false" customHeight="true" outlineLevel="0" collapsed="false">
      <c r="C576" s="1"/>
      <c r="D576" s="1"/>
      <c r="E576" s="1"/>
      <c r="F576" s="1"/>
      <c r="G576" s="1"/>
    </row>
    <row r="577" customFormat="false" ht="15.75" hidden="false" customHeight="true" outlineLevel="0" collapsed="false">
      <c r="C577" s="1"/>
      <c r="D577" s="1"/>
      <c r="E577" s="1"/>
      <c r="F577" s="1"/>
      <c r="G577" s="1"/>
    </row>
    <row r="578" customFormat="false" ht="15.75" hidden="false" customHeight="true" outlineLevel="0" collapsed="false">
      <c r="C578" s="1"/>
      <c r="D578" s="1"/>
      <c r="E578" s="1"/>
      <c r="F578" s="1"/>
      <c r="G578" s="1"/>
    </row>
    <row r="579" customFormat="false" ht="15.75" hidden="false" customHeight="true" outlineLevel="0" collapsed="false">
      <c r="C579" s="1"/>
      <c r="D579" s="1"/>
      <c r="E579" s="1"/>
      <c r="F579" s="1"/>
      <c r="G579" s="1"/>
    </row>
    <row r="580" customFormat="false" ht="15.75" hidden="false" customHeight="true" outlineLevel="0" collapsed="false">
      <c r="C580" s="1"/>
      <c r="D580" s="1"/>
      <c r="E580" s="1"/>
      <c r="F580" s="1"/>
      <c r="G580" s="1"/>
    </row>
    <row r="581" customFormat="false" ht="15.75" hidden="false" customHeight="true" outlineLevel="0" collapsed="false">
      <c r="C581" s="1"/>
      <c r="D581" s="1"/>
      <c r="E581" s="1"/>
      <c r="F581" s="1"/>
      <c r="G581" s="1"/>
    </row>
    <row r="582" customFormat="false" ht="15.75" hidden="false" customHeight="true" outlineLevel="0" collapsed="false">
      <c r="C582" s="1"/>
      <c r="D582" s="1"/>
      <c r="E582" s="1"/>
      <c r="F582" s="1"/>
      <c r="G582" s="1"/>
    </row>
    <row r="583" customFormat="false" ht="15.75" hidden="false" customHeight="true" outlineLevel="0" collapsed="false">
      <c r="C583" s="1"/>
      <c r="D583" s="1"/>
      <c r="E583" s="1"/>
      <c r="F583" s="1"/>
      <c r="G583" s="1"/>
    </row>
    <row r="584" customFormat="false" ht="15.75" hidden="false" customHeight="true" outlineLevel="0" collapsed="false">
      <c r="C584" s="1"/>
      <c r="D584" s="1"/>
      <c r="E584" s="1"/>
      <c r="F584" s="1"/>
      <c r="G584" s="1"/>
    </row>
    <row r="585" customFormat="false" ht="15.75" hidden="false" customHeight="true" outlineLevel="0" collapsed="false">
      <c r="C585" s="1"/>
      <c r="D585" s="1"/>
      <c r="E585" s="1"/>
      <c r="F585" s="1"/>
      <c r="G585" s="1"/>
    </row>
    <row r="586" customFormat="false" ht="15.75" hidden="false" customHeight="true" outlineLevel="0" collapsed="false">
      <c r="C586" s="1"/>
      <c r="D586" s="1"/>
      <c r="E586" s="1"/>
      <c r="F586" s="1"/>
      <c r="G586" s="1"/>
    </row>
    <row r="587" customFormat="false" ht="15.75" hidden="false" customHeight="true" outlineLevel="0" collapsed="false">
      <c r="C587" s="1"/>
      <c r="D587" s="1"/>
      <c r="E587" s="1"/>
      <c r="F587" s="1"/>
      <c r="G587" s="1"/>
    </row>
    <row r="588" customFormat="false" ht="15.75" hidden="false" customHeight="true" outlineLevel="0" collapsed="false">
      <c r="C588" s="1"/>
      <c r="D588" s="1"/>
      <c r="E588" s="1"/>
      <c r="F588" s="1"/>
      <c r="G588" s="1"/>
    </row>
    <row r="589" customFormat="false" ht="15.75" hidden="false" customHeight="true" outlineLevel="0" collapsed="false">
      <c r="C589" s="1"/>
      <c r="D589" s="1"/>
      <c r="E589" s="1"/>
      <c r="F589" s="1"/>
      <c r="G589" s="1"/>
    </row>
    <row r="590" customFormat="false" ht="15.75" hidden="false" customHeight="true" outlineLevel="0" collapsed="false">
      <c r="C590" s="1"/>
      <c r="D590" s="1"/>
      <c r="E590" s="1"/>
      <c r="F590" s="1"/>
      <c r="G590" s="1"/>
    </row>
    <row r="591" customFormat="false" ht="15.75" hidden="false" customHeight="true" outlineLevel="0" collapsed="false">
      <c r="C591" s="1"/>
      <c r="D591" s="1"/>
      <c r="E591" s="1"/>
      <c r="F591" s="1"/>
      <c r="G591" s="1"/>
    </row>
    <row r="592" customFormat="false" ht="15.75" hidden="false" customHeight="true" outlineLevel="0" collapsed="false">
      <c r="C592" s="1"/>
      <c r="D592" s="1"/>
      <c r="E592" s="1"/>
      <c r="F592" s="1"/>
      <c r="G592" s="1"/>
    </row>
    <row r="593" customFormat="false" ht="15.75" hidden="false" customHeight="true" outlineLevel="0" collapsed="false">
      <c r="C593" s="1"/>
      <c r="D593" s="1"/>
      <c r="E593" s="1"/>
      <c r="F593" s="1"/>
      <c r="G593" s="1"/>
    </row>
    <row r="594" customFormat="false" ht="15.75" hidden="false" customHeight="true" outlineLevel="0" collapsed="false">
      <c r="C594" s="1"/>
      <c r="D594" s="1"/>
      <c r="E594" s="1"/>
      <c r="F594" s="1"/>
      <c r="G594" s="1"/>
    </row>
    <row r="595" customFormat="false" ht="15.75" hidden="false" customHeight="true" outlineLevel="0" collapsed="false">
      <c r="C595" s="1"/>
      <c r="D595" s="1"/>
      <c r="E595" s="1"/>
      <c r="F595" s="1"/>
      <c r="G595" s="1"/>
    </row>
    <row r="596" customFormat="false" ht="15.75" hidden="false" customHeight="true" outlineLevel="0" collapsed="false">
      <c r="C596" s="1"/>
      <c r="D596" s="1"/>
      <c r="E596" s="1"/>
      <c r="F596" s="1"/>
      <c r="G596" s="1"/>
    </row>
    <row r="597" customFormat="false" ht="15.75" hidden="false" customHeight="true" outlineLevel="0" collapsed="false">
      <c r="C597" s="1"/>
      <c r="D597" s="1"/>
      <c r="E597" s="1"/>
      <c r="F597" s="1"/>
      <c r="G597" s="1"/>
    </row>
    <row r="598" customFormat="false" ht="15.75" hidden="false" customHeight="true" outlineLevel="0" collapsed="false">
      <c r="C598" s="1"/>
      <c r="D598" s="1"/>
      <c r="E598" s="1"/>
      <c r="F598" s="1"/>
      <c r="G598" s="1"/>
    </row>
    <row r="599" customFormat="false" ht="15.75" hidden="false" customHeight="true" outlineLevel="0" collapsed="false">
      <c r="C599" s="1"/>
      <c r="D599" s="1"/>
      <c r="E599" s="1"/>
      <c r="F599" s="1"/>
      <c r="G599" s="1"/>
    </row>
    <row r="600" customFormat="false" ht="15.75" hidden="false" customHeight="true" outlineLevel="0" collapsed="false">
      <c r="C600" s="1"/>
      <c r="D600" s="1"/>
      <c r="E600" s="1"/>
      <c r="F600" s="1"/>
      <c r="G600" s="1"/>
    </row>
    <row r="601" customFormat="false" ht="15.75" hidden="false" customHeight="true" outlineLevel="0" collapsed="false">
      <c r="C601" s="1"/>
      <c r="D601" s="1"/>
      <c r="E601" s="1"/>
      <c r="F601" s="1"/>
      <c r="G601" s="1"/>
    </row>
    <row r="602" customFormat="false" ht="15.75" hidden="false" customHeight="true" outlineLevel="0" collapsed="false">
      <c r="C602" s="1"/>
      <c r="D602" s="1"/>
      <c r="E602" s="1"/>
      <c r="F602" s="1"/>
      <c r="G602" s="1"/>
    </row>
    <row r="603" customFormat="false" ht="15.75" hidden="false" customHeight="true" outlineLevel="0" collapsed="false">
      <c r="C603" s="1"/>
      <c r="D603" s="1"/>
      <c r="E603" s="1"/>
      <c r="F603" s="1"/>
      <c r="G603" s="1"/>
    </row>
    <row r="604" customFormat="false" ht="15.75" hidden="false" customHeight="true" outlineLevel="0" collapsed="false">
      <c r="C604" s="1"/>
      <c r="D604" s="1"/>
      <c r="E604" s="1"/>
      <c r="F604" s="1"/>
      <c r="G604" s="1"/>
    </row>
    <row r="605" customFormat="false" ht="15.75" hidden="false" customHeight="true" outlineLevel="0" collapsed="false">
      <c r="C605" s="1"/>
      <c r="D605" s="1"/>
      <c r="E605" s="1"/>
      <c r="F605" s="1"/>
      <c r="G605" s="1"/>
    </row>
    <row r="606" customFormat="false" ht="15.75" hidden="false" customHeight="true" outlineLevel="0" collapsed="false">
      <c r="C606" s="1"/>
      <c r="D606" s="1"/>
      <c r="E606" s="1"/>
      <c r="F606" s="1"/>
      <c r="G606" s="1"/>
    </row>
    <row r="607" customFormat="false" ht="15.75" hidden="false" customHeight="true" outlineLevel="0" collapsed="false">
      <c r="C607" s="1"/>
      <c r="D607" s="1"/>
      <c r="E607" s="1"/>
      <c r="F607" s="1"/>
      <c r="G607" s="1"/>
    </row>
    <row r="608" customFormat="false" ht="15.75" hidden="false" customHeight="true" outlineLevel="0" collapsed="false">
      <c r="C608" s="1"/>
      <c r="D608" s="1"/>
      <c r="E608" s="1"/>
      <c r="F608" s="1"/>
      <c r="G608" s="1"/>
    </row>
    <row r="609" customFormat="false" ht="15.75" hidden="false" customHeight="true" outlineLevel="0" collapsed="false">
      <c r="C609" s="1"/>
      <c r="D609" s="1"/>
      <c r="E609" s="1"/>
      <c r="F609" s="1"/>
      <c r="G609" s="1"/>
    </row>
    <row r="610" customFormat="false" ht="15.75" hidden="false" customHeight="true" outlineLevel="0" collapsed="false">
      <c r="C610" s="1"/>
      <c r="D610" s="1"/>
      <c r="E610" s="1"/>
      <c r="F610" s="1"/>
      <c r="G610" s="1"/>
    </row>
    <row r="611" customFormat="false" ht="15.75" hidden="false" customHeight="true" outlineLevel="0" collapsed="false">
      <c r="C611" s="1"/>
      <c r="D611" s="1"/>
      <c r="E611" s="1"/>
      <c r="F611" s="1"/>
      <c r="G611" s="1"/>
    </row>
    <row r="612" customFormat="false" ht="15.75" hidden="false" customHeight="true" outlineLevel="0" collapsed="false">
      <c r="C612" s="1"/>
      <c r="D612" s="1"/>
      <c r="E612" s="1"/>
      <c r="F612" s="1"/>
      <c r="G612" s="1"/>
    </row>
    <row r="613" customFormat="false" ht="15.75" hidden="false" customHeight="true" outlineLevel="0" collapsed="false">
      <c r="C613" s="1"/>
      <c r="D613" s="1"/>
      <c r="E613" s="1"/>
      <c r="F613" s="1"/>
      <c r="G613" s="1"/>
    </row>
    <row r="614" customFormat="false" ht="15.75" hidden="false" customHeight="true" outlineLevel="0" collapsed="false">
      <c r="C614" s="1"/>
      <c r="D614" s="1"/>
      <c r="E614" s="1"/>
      <c r="F614" s="1"/>
      <c r="G614" s="1"/>
    </row>
    <row r="615" customFormat="false" ht="15.75" hidden="false" customHeight="true" outlineLevel="0" collapsed="false">
      <c r="C615" s="1"/>
      <c r="D615" s="1"/>
      <c r="E615" s="1"/>
      <c r="F615" s="1"/>
      <c r="G615" s="1"/>
    </row>
    <row r="616" customFormat="false" ht="15.75" hidden="false" customHeight="true" outlineLevel="0" collapsed="false">
      <c r="C616" s="1"/>
      <c r="D616" s="1"/>
      <c r="E616" s="1"/>
      <c r="F616" s="1"/>
      <c r="G616" s="1"/>
    </row>
    <row r="617" customFormat="false" ht="15.75" hidden="false" customHeight="true" outlineLevel="0" collapsed="false">
      <c r="C617" s="1"/>
      <c r="D617" s="1"/>
      <c r="E617" s="1"/>
      <c r="F617" s="1"/>
      <c r="G617" s="1"/>
    </row>
    <row r="618" customFormat="false" ht="15.75" hidden="false" customHeight="true" outlineLevel="0" collapsed="false">
      <c r="C618" s="1"/>
      <c r="D618" s="1"/>
      <c r="E618" s="1"/>
      <c r="F618" s="1"/>
      <c r="G618" s="1"/>
    </row>
    <row r="619" customFormat="false" ht="15.75" hidden="false" customHeight="true" outlineLevel="0" collapsed="false">
      <c r="C619" s="1"/>
      <c r="D619" s="1"/>
      <c r="E619" s="1"/>
      <c r="F619" s="1"/>
      <c r="G619" s="1"/>
    </row>
    <row r="620" customFormat="false" ht="15.75" hidden="false" customHeight="true" outlineLevel="0" collapsed="false">
      <c r="C620" s="1"/>
      <c r="D620" s="1"/>
      <c r="E620" s="1"/>
      <c r="F620" s="1"/>
      <c r="G620" s="1"/>
    </row>
    <row r="621" customFormat="false" ht="15.75" hidden="false" customHeight="true" outlineLevel="0" collapsed="false">
      <c r="C621" s="1"/>
      <c r="D621" s="1"/>
      <c r="E621" s="1"/>
      <c r="F621" s="1"/>
      <c r="G621" s="1"/>
    </row>
    <row r="622" customFormat="false" ht="15.75" hidden="false" customHeight="true" outlineLevel="0" collapsed="false">
      <c r="C622" s="1"/>
      <c r="D622" s="1"/>
      <c r="E622" s="1"/>
      <c r="F622" s="1"/>
      <c r="G622" s="1"/>
    </row>
    <row r="623" customFormat="false" ht="15.75" hidden="false" customHeight="true" outlineLevel="0" collapsed="false">
      <c r="C623" s="1"/>
      <c r="D623" s="1"/>
      <c r="E623" s="1"/>
      <c r="F623" s="1"/>
      <c r="G623" s="1"/>
    </row>
    <row r="624" customFormat="false" ht="15.75" hidden="false" customHeight="true" outlineLevel="0" collapsed="false">
      <c r="C624" s="1"/>
      <c r="D624" s="1"/>
      <c r="E624" s="1"/>
      <c r="F624" s="1"/>
      <c r="G624" s="1"/>
    </row>
    <row r="625" customFormat="false" ht="15.75" hidden="false" customHeight="true" outlineLevel="0" collapsed="false">
      <c r="C625" s="1"/>
      <c r="D625" s="1"/>
      <c r="E625" s="1"/>
      <c r="F625" s="1"/>
      <c r="G625" s="1"/>
    </row>
    <row r="626" customFormat="false" ht="15.75" hidden="false" customHeight="true" outlineLevel="0" collapsed="false">
      <c r="C626" s="1"/>
      <c r="D626" s="1"/>
      <c r="E626" s="1"/>
      <c r="F626" s="1"/>
      <c r="G626" s="1"/>
    </row>
    <row r="627" customFormat="false" ht="15.75" hidden="false" customHeight="true" outlineLevel="0" collapsed="false">
      <c r="C627" s="1"/>
      <c r="D627" s="1"/>
      <c r="E627" s="1"/>
      <c r="F627" s="1"/>
      <c r="G627" s="1"/>
    </row>
    <row r="628" customFormat="false" ht="15.75" hidden="false" customHeight="true" outlineLevel="0" collapsed="false">
      <c r="C628" s="1"/>
      <c r="D628" s="1"/>
      <c r="E628" s="1"/>
      <c r="F628" s="1"/>
      <c r="G628" s="1"/>
    </row>
    <row r="629" customFormat="false" ht="15.75" hidden="false" customHeight="true" outlineLevel="0" collapsed="false">
      <c r="C629" s="1"/>
      <c r="D629" s="1"/>
      <c r="E629" s="1"/>
      <c r="F629" s="1"/>
      <c r="G629" s="1"/>
    </row>
    <row r="630" customFormat="false" ht="15.75" hidden="false" customHeight="true" outlineLevel="0" collapsed="false">
      <c r="C630" s="1"/>
      <c r="D630" s="1"/>
      <c r="E630" s="1"/>
      <c r="F630" s="1"/>
      <c r="G630" s="1"/>
    </row>
    <row r="631" customFormat="false" ht="15.75" hidden="false" customHeight="true" outlineLevel="0" collapsed="false">
      <c r="C631" s="1"/>
      <c r="D631" s="1"/>
      <c r="E631" s="1"/>
      <c r="F631" s="1"/>
      <c r="G631" s="1"/>
    </row>
    <row r="632" customFormat="false" ht="15.75" hidden="false" customHeight="true" outlineLevel="0" collapsed="false">
      <c r="C632" s="1"/>
      <c r="D632" s="1"/>
      <c r="E632" s="1"/>
      <c r="F632" s="1"/>
      <c r="G632" s="1"/>
    </row>
    <row r="633" customFormat="false" ht="15.75" hidden="false" customHeight="true" outlineLevel="0" collapsed="false">
      <c r="C633" s="1"/>
      <c r="D633" s="1"/>
      <c r="E633" s="1"/>
      <c r="F633" s="1"/>
      <c r="G633" s="1"/>
    </row>
    <row r="634" customFormat="false" ht="15.75" hidden="false" customHeight="true" outlineLevel="0" collapsed="false">
      <c r="C634" s="1"/>
      <c r="D634" s="1"/>
      <c r="E634" s="1"/>
      <c r="F634" s="1"/>
      <c r="G634" s="1"/>
    </row>
    <row r="635" customFormat="false" ht="15.75" hidden="false" customHeight="true" outlineLevel="0" collapsed="false">
      <c r="C635" s="1"/>
      <c r="D635" s="1"/>
      <c r="E635" s="1"/>
      <c r="F635" s="1"/>
      <c r="G635" s="1"/>
    </row>
    <row r="636" customFormat="false" ht="15.75" hidden="false" customHeight="true" outlineLevel="0" collapsed="false">
      <c r="C636" s="1"/>
      <c r="D636" s="1"/>
      <c r="E636" s="1"/>
      <c r="F636" s="1"/>
      <c r="G636" s="1"/>
    </row>
    <row r="637" customFormat="false" ht="15.75" hidden="false" customHeight="true" outlineLevel="0" collapsed="false">
      <c r="C637" s="1"/>
      <c r="D637" s="1"/>
      <c r="E637" s="1"/>
      <c r="F637" s="1"/>
      <c r="G637" s="1"/>
    </row>
    <row r="638" customFormat="false" ht="15.75" hidden="false" customHeight="true" outlineLevel="0" collapsed="false">
      <c r="C638" s="1"/>
      <c r="D638" s="1"/>
      <c r="E638" s="1"/>
      <c r="F638" s="1"/>
      <c r="G638" s="1"/>
    </row>
    <row r="639" customFormat="false" ht="15.75" hidden="false" customHeight="true" outlineLevel="0" collapsed="false">
      <c r="C639" s="1"/>
      <c r="D639" s="1"/>
      <c r="E639" s="1"/>
      <c r="F639" s="1"/>
      <c r="G639" s="1"/>
    </row>
    <row r="640" customFormat="false" ht="15.75" hidden="false" customHeight="true" outlineLevel="0" collapsed="false">
      <c r="C640" s="1"/>
      <c r="D640" s="1"/>
      <c r="E640" s="1"/>
      <c r="F640" s="1"/>
      <c r="G640" s="1"/>
    </row>
    <row r="641" customFormat="false" ht="15.75" hidden="false" customHeight="true" outlineLevel="0" collapsed="false">
      <c r="C641" s="1"/>
      <c r="D641" s="1"/>
      <c r="E641" s="1"/>
      <c r="F641" s="1"/>
      <c r="G641" s="1"/>
    </row>
    <row r="642" customFormat="false" ht="15.75" hidden="false" customHeight="true" outlineLevel="0" collapsed="false">
      <c r="C642" s="1"/>
      <c r="D642" s="1"/>
      <c r="E642" s="1"/>
      <c r="F642" s="1"/>
      <c r="G642" s="1"/>
    </row>
    <row r="643" customFormat="false" ht="15.75" hidden="false" customHeight="true" outlineLevel="0" collapsed="false">
      <c r="C643" s="1"/>
      <c r="D643" s="1"/>
      <c r="E643" s="1"/>
      <c r="F643" s="1"/>
      <c r="G643" s="1"/>
    </row>
    <row r="644" customFormat="false" ht="15.75" hidden="false" customHeight="true" outlineLevel="0" collapsed="false">
      <c r="C644" s="1"/>
      <c r="D644" s="1"/>
      <c r="E644" s="1"/>
      <c r="F644" s="1"/>
      <c r="G644" s="1"/>
    </row>
    <row r="645" customFormat="false" ht="15.75" hidden="false" customHeight="true" outlineLevel="0" collapsed="false">
      <c r="C645" s="1"/>
      <c r="D645" s="1"/>
      <c r="E645" s="1"/>
      <c r="F645" s="1"/>
      <c r="G645" s="1"/>
    </row>
    <row r="646" customFormat="false" ht="15.75" hidden="false" customHeight="true" outlineLevel="0" collapsed="false">
      <c r="C646" s="1"/>
      <c r="D646" s="1"/>
      <c r="E646" s="1"/>
      <c r="F646" s="1"/>
      <c r="G646" s="1"/>
    </row>
    <row r="647" customFormat="false" ht="15.75" hidden="false" customHeight="true" outlineLevel="0" collapsed="false">
      <c r="C647" s="1"/>
      <c r="D647" s="1"/>
      <c r="E647" s="1"/>
      <c r="F647" s="1"/>
      <c r="G647" s="1"/>
    </row>
    <row r="648" customFormat="false" ht="15.75" hidden="false" customHeight="true" outlineLevel="0" collapsed="false">
      <c r="C648" s="1"/>
      <c r="D648" s="1"/>
      <c r="E648" s="1"/>
      <c r="F648" s="1"/>
      <c r="G648" s="1"/>
    </row>
    <row r="649" customFormat="false" ht="15.75" hidden="false" customHeight="true" outlineLevel="0" collapsed="false">
      <c r="C649" s="1"/>
      <c r="D649" s="1"/>
      <c r="E649" s="1"/>
      <c r="F649" s="1"/>
      <c r="G649" s="1"/>
    </row>
    <row r="650" customFormat="false" ht="15.75" hidden="false" customHeight="true" outlineLevel="0" collapsed="false">
      <c r="C650" s="1"/>
      <c r="D650" s="1"/>
      <c r="E650" s="1"/>
      <c r="F650" s="1"/>
      <c r="G650" s="1"/>
    </row>
    <row r="651" customFormat="false" ht="15.75" hidden="false" customHeight="true" outlineLevel="0" collapsed="false">
      <c r="C651" s="1"/>
      <c r="D651" s="1"/>
      <c r="E651" s="1"/>
      <c r="F651" s="1"/>
      <c r="G651" s="1"/>
    </row>
    <row r="652" customFormat="false" ht="15.75" hidden="false" customHeight="true" outlineLevel="0" collapsed="false">
      <c r="C652" s="1"/>
      <c r="D652" s="1"/>
      <c r="E652" s="1"/>
      <c r="F652" s="1"/>
      <c r="G652" s="1"/>
    </row>
    <row r="653" customFormat="false" ht="15.75" hidden="false" customHeight="true" outlineLevel="0" collapsed="false">
      <c r="C653" s="1"/>
      <c r="D653" s="1"/>
      <c r="E653" s="1"/>
      <c r="F653" s="1"/>
      <c r="G653" s="1"/>
    </row>
    <row r="654" customFormat="false" ht="15.75" hidden="false" customHeight="true" outlineLevel="0" collapsed="false">
      <c r="C654" s="1"/>
      <c r="D654" s="1"/>
      <c r="E654" s="1"/>
      <c r="F654" s="1"/>
      <c r="G654" s="1"/>
    </row>
    <row r="655" customFormat="false" ht="15.75" hidden="false" customHeight="true" outlineLevel="0" collapsed="false">
      <c r="C655" s="1"/>
      <c r="D655" s="1"/>
      <c r="E655" s="1"/>
      <c r="F655" s="1"/>
      <c r="G655" s="1"/>
    </row>
    <row r="656" customFormat="false" ht="15.75" hidden="false" customHeight="true" outlineLevel="0" collapsed="false">
      <c r="C656" s="1"/>
      <c r="D656" s="1"/>
      <c r="E656" s="1"/>
      <c r="F656" s="1"/>
      <c r="G656" s="1"/>
    </row>
    <row r="657" customFormat="false" ht="15.75" hidden="false" customHeight="true" outlineLevel="0" collapsed="false">
      <c r="C657" s="1"/>
      <c r="D657" s="1"/>
      <c r="E657" s="1"/>
      <c r="F657" s="1"/>
      <c r="G657" s="1"/>
    </row>
    <row r="658" customFormat="false" ht="15.75" hidden="false" customHeight="true" outlineLevel="0" collapsed="false">
      <c r="C658" s="1"/>
      <c r="D658" s="1"/>
      <c r="E658" s="1"/>
      <c r="F658" s="1"/>
      <c r="G658" s="1"/>
    </row>
    <row r="659" customFormat="false" ht="15.75" hidden="false" customHeight="true" outlineLevel="0" collapsed="false">
      <c r="C659" s="1"/>
      <c r="D659" s="1"/>
      <c r="E659" s="1"/>
      <c r="F659" s="1"/>
      <c r="G659" s="1"/>
    </row>
    <row r="660" customFormat="false" ht="15.75" hidden="false" customHeight="true" outlineLevel="0" collapsed="false">
      <c r="C660" s="1"/>
      <c r="D660" s="1"/>
      <c r="E660" s="1"/>
      <c r="F660" s="1"/>
      <c r="G660" s="1"/>
    </row>
    <row r="661" customFormat="false" ht="15.75" hidden="false" customHeight="true" outlineLevel="0" collapsed="false">
      <c r="C661" s="1"/>
      <c r="D661" s="1"/>
      <c r="E661" s="1"/>
      <c r="F661" s="1"/>
      <c r="G661" s="1"/>
    </row>
    <row r="662" customFormat="false" ht="15.75" hidden="false" customHeight="true" outlineLevel="0" collapsed="false">
      <c r="C662" s="1"/>
      <c r="D662" s="1"/>
      <c r="E662" s="1"/>
      <c r="F662" s="1"/>
      <c r="G662" s="1"/>
    </row>
    <row r="663" customFormat="false" ht="15.75" hidden="false" customHeight="true" outlineLevel="0" collapsed="false">
      <c r="C663" s="1"/>
      <c r="D663" s="1"/>
      <c r="E663" s="1"/>
      <c r="F663" s="1"/>
      <c r="G663" s="1"/>
    </row>
    <row r="664" customFormat="false" ht="15.75" hidden="false" customHeight="true" outlineLevel="0" collapsed="false">
      <c r="C664" s="1"/>
      <c r="D664" s="1"/>
      <c r="E664" s="1"/>
      <c r="F664" s="1"/>
      <c r="G664" s="1"/>
    </row>
    <row r="665" customFormat="false" ht="15.75" hidden="false" customHeight="true" outlineLevel="0" collapsed="false">
      <c r="C665" s="1"/>
      <c r="D665" s="1"/>
      <c r="E665" s="1"/>
      <c r="F665" s="1"/>
      <c r="G665" s="1"/>
    </row>
    <row r="666" customFormat="false" ht="15.75" hidden="false" customHeight="true" outlineLevel="0" collapsed="false">
      <c r="C666" s="1"/>
      <c r="D666" s="1"/>
      <c r="E666" s="1"/>
      <c r="F666" s="1"/>
      <c r="G666" s="1"/>
    </row>
    <row r="667" customFormat="false" ht="15.75" hidden="false" customHeight="true" outlineLevel="0" collapsed="false">
      <c r="C667" s="1"/>
      <c r="D667" s="1"/>
      <c r="E667" s="1"/>
      <c r="F667" s="1"/>
      <c r="G667" s="1"/>
    </row>
    <row r="668" customFormat="false" ht="15.75" hidden="false" customHeight="true" outlineLevel="0" collapsed="false">
      <c r="C668" s="1"/>
      <c r="D668" s="1"/>
      <c r="E668" s="1"/>
      <c r="F668" s="1"/>
      <c r="G668" s="1"/>
    </row>
    <row r="669" customFormat="false" ht="15.75" hidden="false" customHeight="true" outlineLevel="0" collapsed="false">
      <c r="C669" s="1"/>
      <c r="D669" s="1"/>
      <c r="E669" s="1"/>
      <c r="F669" s="1"/>
      <c r="G669" s="1"/>
    </row>
    <row r="670" customFormat="false" ht="15.75" hidden="false" customHeight="true" outlineLevel="0" collapsed="false">
      <c r="C670" s="1"/>
      <c r="D670" s="1"/>
      <c r="E670" s="1"/>
      <c r="F670" s="1"/>
      <c r="G670" s="1"/>
    </row>
    <row r="671" customFormat="false" ht="15.75" hidden="false" customHeight="true" outlineLevel="0" collapsed="false">
      <c r="C671" s="1"/>
      <c r="D671" s="1"/>
      <c r="E671" s="1"/>
      <c r="F671" s="1"/>
      <c r="G671" s="1"/>
    </row>
    <row r="672" customFormat="false" ht="15.75" hidden="false" customHeight="true" outlineLevel="0" collapsed="false">
      <c r="C672" s="1"/>
      <c r="D672" s="1"/>
      <c r="E672" s="1"/>
      <c r="F672" s="1"/>
      <c r="G672" s="1"/>
    </row>
    <row r="673" customFormat="false" ht="15.75" hidden="false" customHeight="true" outlineLevel="0" collapsed="false">
      <c r="C673" s="1"/>
      <c r="D673" s="1"/>
      <c r="E673" s="1"/>
      <c r="F673" s="1"/>
      <c r="G673" s="1"/>
    </row>
    <row r="674" customFormat="false" ht="15.75" hidden="false" customHeight="true" outlineLevel="0" collapsed="false">
      <c r="C674" s="1"/>
      <c r="D674" s="1"/>
      <c r="E674" s="1"/>
      <c r="F674" s="1"/>
      <c r="G674" s="1"/>
    </row>
    <row r="675" customFormat="false" ht="15.75" hidden="false" customHeight="true" outlineLevel="0" collapsed="false">
      <c r="C675" s="1"/>
      <c r="D675" s="1"/>
      <c r="E675" s="1"/>
      <c r="F675" s="1"/>
      <c r="G675" s="1"/>
    </row>
    <row r="676" customFormat="false" ht="15.75" hidden="false" customHeight="true" outlineLevel="0" collapsed="false">
      <c r="C676" s="1"/>
      <c r="D676" s="1"/>
      <c r="E676" s="1"/>
      <c r="F676" s="1"/>
      <c r="G676" s="1"/>
    </row>
    <row r="677" customFormat="false" ht="15.75" hidden="false" customHeight="true" outlineLevel="0" collapsed="false">
      <c r="C677" s="1"/>
      <c r="D677" s="1"/>
      <c r="E677" s="1"/>
      <c r="F677" s="1"/>
      <c r="G677" s="1"/>
    </row>
    <row r="678" customFormat="false" ht="15.75" hidden="false" customHeight="true" outlineLevel="0" collapsed="false">
      <c r="C678" s="1"/>
      <c r="D678" s="1"/>
      <c r="E678" s="1"/>
      <c r="F678" s="1"/>
      <c r="G678" s="1"/>
    </row>
    <row r="679" customFormat="false" ht="15.75" hidden="false" customHeight="true" outlineLevel="0" collapsed="false">
      <c r="C679" s="1"/>
      <c r="D679" s="1"/>
      <c r="E679" s="1"/>
      <c r="F679" s="1"/>
      <c r="G679" s="1"/>
    </row>
    <row r="680" customFormat="false" ht="15.75" hidden="false" customHeight="true" outlineLevel="0" collapsed="false">
      <c r="C680" s="1"/>
      <c r="D680" s="1"/>
      <c r="E680" s="1"/>
      <c r="F680" s="1"/>
      <c r="G680" s="1"/>
    </row>
    <row r="681" customFormat="false" ht="15.75" hidden="false" customHeight="true" outlineLevel="0" collapsed="false">
      <c r="C681" s="1"/>
      <c r="D681" s="1"/>
      <c r="E681" s="1"/>
      <c r="F681" s="1"/>
      <c r="G681" s="1"/>
    </row>
    <row r="682" customFormat="false" ht="15.75" hidden="false" customHeight="true" outlineLevel="0" collapsed="false">
      <c r="C682" s="1"/>
      <c r="D682" s="1"/>
      <c r="E682" s="1"/>
      <c r="F682" s="1"/>
      <c r="G682" s="1"/>
    </row>
    <row r="683" customFormat="false" ht="15.75" hidden="false" customHeight="true" outlineLevel="0" collapsed="false">
      <c r="C683" s="1"/>
      <c r="D683" s="1"/>
      <c r="E683" s="1"/>
      <c r="F683" s="1"/>
      <c r="G683" s="1"/>
    </row>
    <row r="684" customFormat="false" ht="15.75" hidden="false" customHeight="true" outlineLevel="0" collapsed="false">
      <c r="C684" s="1"/>
      <c r="D684" s="1"/>
      <c r="E684" s="1"/>
      <c r="F684" s="1"/>
      <c r="G684" s="1"/>
    </row>
    <row r="685" customFormat="false" ht="15.75" hidden="false" customHeight="true" outlineLevel="0" collapsed="false">
      <c r="C685" s="1"/>
      <c r="D685" s="1"/>
      <c r="E685" s="1"/>
      <c r="F685" s="1"/>
      <c r="G685" s="1"/>
    </row>
    <row r="686" customFormat="false" ht="15.75" hidden="false" customHeight="true" outlineLevel="0" collapsed="false">
      <c r="C686" s="1"/>
      <c r="D686" s="1"/>
      <c r="E686" s="1"/>
      <c r="F686" s="1"/>
      <c r="G686" s="1"/>
    </row>
    <row r="687" customFormat="false" ht="15.75" hidden="false" customHeight="true" outlineLevel="0" collapsed="false">
      <c r="C687" s="1"/>
      <c r="D687" s="1"/>
      <c r="E687" s="1"/>
      <c r="F687" s="1"/>
      <c r="G687" s="1"/>
    </row>
    <row r="688" customFormat="false" ht="15.75" hidden="false" customHeight="true" outlineLevel="0" collapsed="false">
      <c r="C688" s="1"/>
      <c r="D688" s="1"/>
      <c r="E688" s="1"/>
      <c r="F688" s="1"/>
      <c r="G688" s="1"/>
    </row>
    <row r="689" customFormat="false" ht="15.75" hidden="false" customHeight="true" outlineLevel="0" collapsed="false">
      <c r="C689" s="1"/>
      <c r="D689" s="1"/>
      <c r="E689" s="1"/>
      <c r="F689" s="1"/>
      <c r="G689" s="1"/>
    </row>
    <row r="690" customFormat="false" ht="15.75" hidden="false" customHeight="true" outlineLevel="0" collapsed="false">
      <c r="C690" s="1"/>
      <c r="D690" s="1"/>
      <c r="E690" s="1"/>
      <c r="F690" s="1"/>
      <c r="G690" s="1"/>
    </row>
    <row r="691" customFormat="false" ht="15.75" hidden="false" customHeight="true" outlineLevel="0" collapsed="false">
      <c r="C691" s="1"/>
      <c r="D691" s="1"/>
      <c r="E691" s="1"/>
      <c r="F691" s="1"/>
      <c r="G691" s="1"/>
    </row>
    <row r="692" customFormat="false" ht="15.75" hidden="false" customHeight="true" outlineLevel="0" collapsed="false">
      <c r="C692" s="1"/>
      <c r="D692" s="1"/>
      <c r="E692" s="1"/>
      <c r="F692" s="1"/>
      <c r="G692" s="1"/>
    </row>
    <row r="693" customFormat="false" ht="15.75" hidden="false" customHeight="true" outlineLevel="0" collapsed="false">
      <c r="C693" s="1"/>
      <c r="D693" s="1"/>
      <c r="E693" s="1"/>
      <c r="F693" s="1"/>
      <c r="G693" s="1"/>
    </row>
    <row r="694" customFormat="false" ht="15.75" hidden="false" customHeight="true" outlineLevel="0" collapsed="false">
      <c r="C694" s="1"/>
      <c r="D694" s="1"/>
      <c r="E694" s="1"/>
      <c r="F694" s="1"/>
      <c r="G694" s="1"/>
    </row>
    <row r="695" customFormat="false" ht="15.75" hidden="false" customHeight="true" outlineLevel="0" collapsed="false">
      <c r="C695" s="1"/>
      <c r="D695" s="1"/>
      <c r="E695" s="1"/>
      <c r="F695" s="1"/>
      <c r="G695" s="1"/>
    </row>
    <row r="696" customFormat="false" ht="15.75" hidden="false" customHeight="true" outlineLevel="0" collapsed="false">
      <c r="C696" s="1"/>
      <c r="D696" s="1"/>
      <c r="E696" s="1"/>
      <c r="F696" s="1"/>
      <c r="G696" s="1"/>
    </row>
    <row r="697" customFormat="false" ht="15.75" hidden="false" customHeight="true" outlineLevel="0" collapsed="false">
      <c r="C697" s="1"/>
      <c r="D697" s="1"/>
      <c r="E697" s="1"/>
      <c r="F697" s="1"/>
      <c r="G697" s="1"/>
    </row>
    <row r="698" customFormat="false" ht="15.75" hidden="false" customHeight="true" outlineLevel="0" collapsed="false">
      <c r="C698" s="1"/>
      <c r="D698" s="1"/>
      <c r="E698" s="1"/>
      <c r="F698" s="1"/>
      <c r="G698" s="1"/>
    </row>
    <row r="699" customFormat="false" ht="15.75" hidden="false" customHeight="true" outlineLevel="0" collapsed="false">
      <c r="C699" s="1"/>
      <c r="D699" s="1"/>
      <c r="E699" s="1"/>
      <c r="F699" s="1"/>
      <c r="G699" s="1"/>
    </row>
    <row r="700" customFormat="false" ht="15.75" hidden="false" customHeight="true" outlineLevel="0" collapsed="false">
      <c r="C700" s="1"/>
      <c r="D700" s="1"/>
      <c r="E700" s="1"/>
      <c r="F700" s="1"/>
      <c r="G700" s="1"/>
    </row>
    <row r="701" customFormat="false" ht="15.75" hidden="false" customHeight="true" outlineLevel="0" collapsed="false">
      <c r="C701" s="1"/>
      <c r="D701" s="1"/>
      <c r="E701" s="1"/>
      <c r="F701" s="1"/>
      <c r="G701" s="1"/>
    </row>
    <row r="702" customFormat="false" ht="15.75" hidden="false" customHeight="true" outlineLevel="0" collapsed="false">
      <c r="C702" s="1"/>
      <c r="D702" s="1"/>
      <c r="E702" s="1"/>
      <c r="F702" s="1"/>
      <c r="G702" s="1"/>
    </row>
    <row r="703" customFormat="false" ht="15.75" hidden="false" customHeight="true" outlineLevel="0" collapsed="false">
      <c r="C703" s="1"/>
      <c r="D703" s="1"/>
      <c r="E703" s="1"/>
      <c r="F703" s="1"/>
      <c r="G703" s="1"/>
    </row>
    <row r="704" customFormat="false" ht="15.75" hidden="false" customHeight="true" outlineLevel="0" collapsed="false">
      <c r="C704" s="1"/>
      <c r="D704" s="1"/>
      <c r="E704" s="1"/>
      <c r="F704" s="1"/>
      <c r="G704" s="1"/>
    </row>
    <row r="705" customFormat="false" ht="15.75" hidden="false" customHeight="true" outlineLevel="0" collapsed="false">
      <c r="C705" s="1"/>
      <c r="D705" s="1"/>
      <c r="E705" s="1"/>
      <c r="F705" s="1"/>
      <c r="G705" s="1"/>
    </row>
    <row r="706" customFormat="false" ht="15.75" hidden="false" customHeight="true" outlineLevel="0" collapsed="false">
      <c r="C706" s="1"/>
      <c r="D706" s="1"/>
      <c r="E706" s="1"/>
      <c r="F706" s="1"/>
      <c r="G706" s="1"/>
    </row>
    <row r="707" customFormat="false" ht="15.75" hidden="false" customHeight="true" outlineLevel="0" collapsed="false">
      <c r="C707" s="1"/>
      <c r="D707" s="1"/>
      <c r="E707" s="1"/>
      <c r="F707" s="1"/>
      <c r="G707" s="1"/>
    </row>
    <row r="708" customFormat="false" ht="15.75" hidden="false" customHeight="true" outlineLevel="0" collapsed="false">
      <c r="C708" s="1"/>
      <c r="D708" s="1"/>
      <c r="E708" s="1"/>
      <c r="F708" s="1"/>
      <c r="G708" s="1"/>
    </row>
    <row r="709" customFormat="false" ht="15.75" hidden="false" customHeight="true" outlineLevel="0" collapsed="false">
      <c r="C709" s="1"/>
      <c r="D709" s="1"/>
      <c r="E709" s="1"/>
      <c r="F709" s="1"/>
      <c r="G709" s="1"/>
    </row>
    <row r="710" customFormat="false" ht="15.75" hidden="false" customHeight="true" outlineLevel="0" collapsed="false">
      <c r="C710" s="1"/>
      <c r="D710" s="1"/>
      <c r="E710" s="1"/>
      <c r="F710" s="1"/>
      <c r="G710" s="1"/>
    </row>
    <row r="711" customFormat="false" ht="15.75" hidden="false" customHeight="true" outlineLevel="0" collapsed="false">
      <c r="C711" s="1"/>
      <c r="D711" s="1"/>
      <c r="E711" s="1"/>
      <c r="F711" s="1"/>
      <c r="G711" s="1"/>
    </row>
    <row r="712" customFormat="false" ht="15.75" hidden="false" customHeight="true" outlineLevel="0" collapsed="false">
      <c r="C712" s="1"/>
      <c r="D712" s="1"/>
      <c r="E712" s="1"/>
      <c r="F712" s="1"/>
      <c r="G712" s="1"/>
    </row>
    <row r="713" customFormat="false" ht="15.75" hidden="false" customHeight="true" outlineLevel="0" collapsed="false">
      <c r="C713" s="1"/>
      <c r="D713" s="1"/>
      <c r="E713" s="1"/>
      <c r="F713" s="1"/>
      <c r="G713" s="1"/>
    </row>
    <row r="714" customFormat="false" ht="15.75" hidden="false" customHeight="true" outlineLevel="0" collapsed="false">
      <c r="C714" s="1"/>
      <c r="D714" s="1"/>
      <c r="E714" s="1"/>
      <c r="F714" s="1"/>
      <c r="G714" s="1"/>
    </row>
    <row r="715" customFormat="false" ht="15.75" hidden="false" customHeight="true" outlineLevel="0" collapsed="false">
      <c r="C715" s="1"/>
      <c r="D715" s="1"/>
      <c r="E715" s="1"/>
      <c r="F715" s="1"/>
      <c r="G715" s="1"/>
    </row>
    <row r="716" customFormat="false" ht="15.75" hidden="false" customHeight="true" outlineLevel="0" collapsed="false">
      <c r="C716" s="1"/>
      <c r="D716" s="1"/>
      <c r="E716" s="1"/>
      <c r="F716" s="1"/>
      <c r="G716" s="1"/>
    </row>
    <row r="717" customFormat="false" ht="15.75" hidden="false" customHeight="true" outlineLevel="0" collapsed="false">
      <c r="C717" s="1"/>
      <c r="D717" s="1"/>
      <c r="E717" s="1"/>
      <c r="F717" s="1"/>
      <c r="G717" s="1"/>
    </row>
    <row r="718" customFormat="false" ht="15.75" hidden="false" customHeight="true" outlineLevel="0" collapsed="false">
      <c r="C718" s="1"/>
      <c r="D718" s="1"/>
      <c r="E718" s="1"/>
      <c r="F718" s="1"/>
      <c r="G718" s="1"/>
    </row>
    <row r="719" customFormat="false" ht="15.75" hidden="false" customHeight="true" outlineLevel="0" collapsed="false">
      <c r="C719" s="1"/>
      <c r="D719" s="1"/>
      <c r="E719" s="1"/>
      <c r="F719" s="1"/>
      <c r="G719" s="1"/>
    </row>
    <row r="720" customFormat="false" ht="15.75" hidden="false" customHeight="true" outlineLevel="0" collapsed="false">
      <c r="C720" s="1"/>
      <c r="D720" s="1"/>
      <c r="E720" s="1"/>
      <c r="F720" s="1"/>
      <c r="G720" s="1"/>
    </row>
    <row r="721" customFormat="false" ht="15.75" hidden="false" customHeight="true" outlineLevel="0" collapsed="false">
      <c r="C721" s="1"/>
      <c r="D721" s="1"/>
      <c r="E721" s="1"/>
      <c r="F721" s="1"/>
      <c r="G721" s="1"/>
    </row>
    <row r="722" customFormat="false" ht="15.75" hidden="false" customHeight="true" outlineLevel="0" collapsed="false">
      <c r="C722" s="1"/>
      <c r="D722" s="1"/>
      <c r="E722" s="1"/>
      <c r="F722" s="1"/>
      <c r="G722" s="1"/>
    </row>
    <row r="723" customFormat="false" ht="15.75" hidden="false" customHeight="true" outlineLevel="0" collapsed="false">
      <c r="C723" s="1"/>
      <c r="D723" s="1"/>
      <c r="E723" s="1"/>
      <c r="F723" s="1"/>
      <c r="G723" s="1"/>
    </row>
    <row r="724" customFormat="false" ht="15.75" hidden="false" customHeight="true" outlineLevel="0" collapsed="false">
      <c r="C724" s="1"/>
      <c r="D724" s="1"/>
      <c r="E724" s="1"/>
      <c r="F724" s="1"/>
      <c r="G724" s="1"/>
    </row>
    <row r="725" customFormat="false" ht="15.75" hidden="false" customHeight="true" outlineLevel="0" collapsed="false">
      <c r="C725" s="1"/>
      <c r="D725" s="1"/>
      <c r="E725" s="1"/>
      <c r="F725" s="1"/>
      <c r="G725" s="1"/>
    </row>
    <row r="726" customFormat="false" ht="15.75" hidden="false" customHeight="true" outlineLevel="0" collapsed="false">
      <c r="C726" s="1"/>
      <c r="D726" s="1"/>
      <c r="E726" s="1"/>
      <c r="F726" s="1"/>
      <c r="G726" s="1"/>
    </row>
    <row r="727" customFormat="false" ht="15.75" hidden="false" customHeight="true" outlineLevel="0" collapsed="false">
      <c r="C727" s="1"/>
      <c r="D727" s="1"/>
      <c r="E727" s="1"/>
      <c r="F727" s="1"/>
      <c r="G727" s="1"/>
    </row>
    <row r="728" customFormat="false" ht="15.75" hidden="false" customHeight="true" outlineLevel="0" collapsed="false">
      <c r="C728" s="1"/>
      <c r="D728" s="1"/>
      <c r="E728" s="1"/>
      <c r="F728" s="1"/>
      <c r="G728" s="1"/>
    </row>
    <row r="729" customFormat="false" ht="15.75" hidden="false" customHeight="true" outlineLevel="0" collapsed="false">
      <c r="C729" s="1"/>
      <c r="D729" s="1"/>
      <c r="E729" s="1"/>
      <c r="F729" s="1"/>
      <c r="G729" s="1"/>
    </row>
    <row r="730" customFormat="false" ht="15.75" hidden="false" customHeight="true" outlineLevel="0" collapsed="false">
      <c r="C730" s="1"/>
      <c r="D730" s="1"/>
      <c r="E730" s="1"/>
      <c r="F730" s="1"/>
      <c r="G730" s="1"/>
    </row>
    <row r="731" customFormat="false" ht="15.75" hidden="false" customHeight="true" outlineLevel="0" collapsed="false">
      <c r="C731" s="1"/>
      <c r="D731" s="1"/>
      <c r="E731" s="1"/>
      <c r="F731" s="1"/>
      <c r="G731" s="1"/>
    </row>
    <row r="732" customFormat="false" ht="15.75" hidden="false" customHeight="true" outlineLevel="0" collapsed="false">
      <c r="C732" s="1"/>
      <c r="D732" s="1"/>
      <c r="E732" s="1"/>
      <c r="F732" s="1"/>
      <c r="G732" s="1"/>
    </row>
    <row r="733" customFormat="false" ht="15.75" hidden="false" customHeight="true" outlineLevel="0" collapsed="false">
      <c r="C733" s="1"/>
      <c r="D733" s="1"/>
      <c r="E733" s="1"/>
      <c r="F733" s="1"/>
      <c r="G733" s="1"/>
    </row>
    <row r="734" customFormat="false" ht="15.75" hidden="false" customHeight="true" outlineLevel="0" collapsed="false">
      <c r="C734" s="1"/>
      <c r="D734" s="1"/>
      <c r="E734" s="1"/>
      <c r="F734" s="1"/>
      <c r="G734" s="1"/>
    </row>
    <row r="735" customFormat="false" ht="15.75" hidden="false" customHeight="true" outlineLevel="0" collapsed="false">
      <c r="C735" s="1"/>
      <c r="D735" s="1"/>
      <c r="E735" s="1"/>
      <c r="F735" s="1"/>
      <c r="G735" s="1"/>
    </row>
    <row r="736" customFormat="false" ht="15.75" hidden="false" customHeight="true" outlineLevel="0" collapsed="false">
      <c r="C736" s="1"/>
      <c r="D736" s="1"/>
      <c r="E736" s="1"/>
      <c r="F736" s="1"/>
      <c r="G736" s="1"/>
    </row>
    <row r="737" customFormat="false" ht="15.75" hidden="false" customHeight="true" outlineLevel="0" collapsed="false">
      <c r="C737" s="1"/>
      <c r="D737" s="1"/>
      <c r="E737" s="1"/>
      <c r="F737" s="1"/>
      <c r="G737" s="1"/>
    </row>
    <row r="738" customFormat="false" ht="15.75" hidden="false" customHeight="true" outlineLevel="0" collapsed="false">
      <c r="C738" s="1"/>
      <c r="D738" s="1"/>
      <c r="E738" s="1"/>
      <c r="F738" s="1"/>
      <c r="G738" s="1"/>
    </row>
    <row r="739" customFormat="false" ht="15.75" hidden="false" customHeight="true" outlineLevel="0" collapsed="false">
      <c r="C739" s="1"/>
      <c r="D739" s="1"/>
      <c r="E739" s="1"/>
      <c r="F739" s="1"/>
      <c r="G739" s="1"/>
    </row>
    <row r="740" customFormat="false" ht="15.75" hidden="false" customHeight="true" outlineLevel="0" collapsed="false">
      <c r="C740" s="1"/>
      <c r="D740" s="1"/>
      <c r="E740" s="1"/>
      <c r="F740" s="1"/>
      <c r="G740" s="1"/>
    </row>
    <row r="741" customFormat="false" ht="15.75" hidden="false" customHeight="true" outlineLevel="0" collapsed="false">
      <c r="C741" s="1"/>
      <c r="D741" s="1"/>
      <c r="E741" s="1"/>
      <c r="F741" s="1"/>
      <c r="G741" s="1"/>
    </row>
    <row r="742" customFormat="false" ht="15.75" hidden="false" customHeight="true" outlineLevel="0" collapsed="false">
      <c r="C742" s="1"/>
      <c r="D742" s="1"/>
      <c r="E742" s="1"/>
      <c r="F742" s="1"/>
      <c r="G742" s="1"/>
    </row>
    <row r="743" customFormat="false" ht="15.75" hidden="false" customHeight="true" outlineLevel="0" collapsed="false">
      <c r="C743" s="1"/>
      <c r="D743" s="1"/>
      <c r="E743" s="1"/>
      <c r="F743" s="1"/>
      <c r="G743" s="1"/>
    </row>
    <row r="744" customFormat="false" ht="15.75" hidden="false" customHeight="true" outlineLevel="0" collapsed="false">
      <c r="C744" s="1"/>
      <c r="D744" s="1"/>
      <c r="E744" s="1"/>
      <c r="F744" s="1"/>
      <c r="G744" s="1"/>
    </row>
    <row r="745" customFormat="false" ht="15.75" hidden="false" customHeight="true" outlineLevel="0" collapsed="false">
      <c r="C745" s="1"/>
      <c r="D745" s="1"/>
      <c r="E745" s="1"/>
      <c r="F745" s="1"/>
      <c r="G745" s="1"/>
    </row>
    <row r="746" customFormat="false" ht="15.75" hidden="false" customHeight="true" outlineLevel="0" collapsed="false">
      <c r="C746" s="1"/>
      <c r="D746" s="1"/>
      <c r="E746" s="1"/>
      <c r="F746" s="1"/>
      <c r="G746" s="1"/>
    </row>
    <row r="747" customFormat="false" ht="15.75" hidden="false" customHeight="true" outlineLevel="0" collapsed="false">
      <c r="C747" s="1"/>
      <c r="D747" s="1"/>
      <c r="E747" s="1"/>
      <c r="F747" s="1"/>
      <c r="G747" s="1"/>
    </row>
    <row r="748" customFormat="false" ht="15.75" hidden="false" customHeight="true" outlineLevel="0" collapsed="false">
      <c r="C748" s="1"/>
      <c r="D748" s="1"/>
      <c r="E748" s="1"/>
      <c r="F748" s="1"/>
      <c r="G748" s="1"/>
    </row>
    <row r="749" customFormat="false" ht="15.75" hidden="false" customHeight="true" outlineLevel="0" collapsed="false">
      <c r="C749" s="1"/>
      <c r="D749" s="1"/>
      <c r="E749" s="1"/>
      <c r="F749" s="1"/>
      <c r="G749" s="1"/>
    </row>
    <row r="750" customFormat="false" ht="15.75" hidden="false" customHeight="true" outlineLevel="0" collapsed="false">
      <c r="C750" s="1"/>
      <c r="D750" s="1"/>
      <c r="E750" s="1"/>
      <c r="F750" s="1"/>
      <c r="G750" s="1"/>
    </row>
    <row r="751" customFormat="false" ht="15.75" hidden="false" customHeight="true" outlineLevel="0" collapsed="false">
      <c r="C751" s="1"/>
      <c r="D751" s="1"/>
      <c r="E751" s="1"/>
      <c r="F751" s="1"/>
      <c r="G751" s="1"/>
    </row>
    <row r="752" customFormat="false" ht="15.75" hidden="false" customHeight="true" outlineLevel="0" collapsed="false">
      <c r="C752" s="1"/>
      <c r="D752" s="1"/>
      <c r="E752" s="1"/>
      <c r="F752" s="1"/>
      <c r="G752" s="1"/>
    </row>
    <row r="753" customFormat="false" ht="15.75" hidden="false" customHeight="true" outlineLevel="0" collapsed="false">
      <c r="C753" s="1"/>
      <c r="D753" s="1"/>
      <c r="E753" s="1"/>
      <c r="F753" s="1"/>
      <c r="G753" s="1"/>
    </row>
    <row r="754" customFormat="false" ht="15.75" hidden="false" customHeight="true" outlineLevel="0" collapsed="false">
      <c r="C754" s="1"/>
      <c r="D754" s="1"/>
      <c r="E754" s="1"/>
      <c r="F754" s="1"/>
      <c r="G754" s="1"/>
    </row>
    <row r="755" customFormat="false" ht="15.75" hidden="false" customHeight="true" outlineLevel="0" collapsed="false">
      <c r="C755" s="1"/>
      <c r="D755" s="1"/>
      <c r="E755" s="1"/>
      <c r="F755" s="1"/>
      <c r="G755" s="1"/>
    </row>
    <row r="756" customFormat="false" ht="15.75" hidden="false" customHeight="true" outlineLevel="0" collapsed="false">
      <c r="C756" s="1"/>
      <c r="D756" s="1"/>
      <c r="E756" s="1"/>
      <c r="F756" s="1"/>
      <c r="G756" s="1"/>
    </row>
    <row r="757" customFormat="false" ht="15.75" hidden="false" customHeight="true" outlineLevel="0" collapsed="false">
      <c r="C757" s="1"/>
      <c r="D757" s="1"/>
      <c r="E757" s="1"/>
      <c r="F757" s="1"/>
      <c r="G757" s="1"/>
    </row>
    <row r="758" customFormat="false" ht="15.75" hidden="false" customHeight="true" outlineLevel="0" collapsed="false">
      <c r="C758" s="1"/>
      <c r="D758" s="1"/>
      <c r="E758" s="1"/>
      <c r="F758" s="1"/>
      <c r="G758" s="1"/>
    </row>
    <row r="759" customFormat="false" ht="15.75" hidden="false" customHeight="true" outlineLevel="0" collapsed="false">
      <c r="C759" s="1"/>
      <c r="D759" s="1"/>
      <c r="E759" s="1"/>
      <c r="F759" s="1"/>
      <c r="G759" s="1"/>
    </row>
    <row r="760" customFormat="false" ht="15.75" hidden="false" customHeight="true" outlineLevel="0" collapsed="false">
      <c r="C760" s="1"/>
      <c r="D760" s="1"/>
      <c r="E760" s="1"/>
      <c r="F760" s="1"/>
      <c r="G760" s="1"/>
    </row>
    <row r="761" customFormat="false" ht="15.75" hidden="false" customHeight="true" outlineLevel="0" collapsed="false">
      <c r="C761" s="1"/>
      <c r="D761" s="1"/>
      <c r="E761" s="1"/>
      <c r="F761" s="1"/>
      <c r="G761" s="1"/>
    </row>
    <row r="762" customFormat="false" ht="15.75" hidden="false" customHeight="true" outlineLevel="0" collapsed="false">
      <c r="C762" s="1"/>
      <c r="D762" s="1"/>
      <c r="E762" s="1"/>
      <c r="F762" s="1"/>
      <c r="G762" s="1"/>
    </row>
    <row r="763" customFormat="false" ht="15.75" hidden="false" customHeight="true" outlineLevel="0" collapsed="false">
      <c r="C763" s="1"/>
      <c r="D763" s="1"/>
      <c r="E763" s="1"/>
      <c r="F763" s="1"/>
      <c r="G763" s="1"/>
    </row>
    <row r="764" customFormat="false" ht="15.75" hidden="false" customHeight="true" outlineLevel="0" collapsed="false">
      <c r="C764" s="1"/>
      <c r="D764" s="1"/>
      <c r="E764" s="1"/>
      <c r="F764" s="1"/>
      <c r="G764" s="1"/>
    </row>
    <row r="765" customFormat="false" ht="15.75" hidden="false" customHeight="true" outlineLevel="0" collapsed="false">
      <c r="C765" s="1"/>
      <c r="D765" s="1"/>
      <c r="E765" s="1"/>
      <c r="F765" s="1"/>
      <c r="G765" s="1"/>
    </row>
    <row r="766" customFormat="false" ht="15.75" hidden="false" customHeight="true" outlineLevel="0" collapsed="false">
      <c r="C766" s="1"/>
      <c r="D766" s="1"/>
      <c r="E766" s="1"/>
      <c r="F766" s="1"/>
      <c r="G766" s="1"/>
    </row>
    <row r="767" customFormat="false" ht="15.75" hidden="false" customHeight="true" outlineLevel="0" collapsed="false">
      <c r="C767" s="1"/>
      <c r="D767" s="1"/>
      <c r="E767" s="1"/>
      <c r="F767" s="1"/>
      <c r="G767" s="1"/>
    </row>
    <row r="768" customFormat="false" ht="15.75" hidden="false" customHeight="true" outlineLevel="0" collapsed="false">
      <c r="C768" s="1"/>
      <c r="D768" s="1"/>
      <c r="E768" s="1"/>
      <c r="F768" s="1"/>
      <c r="G768" s="1"/>
    </row>
    <row r="769" customFormat="false" ht="15.75" hidden="false" customHeight="true" outlineLevel="0" collapsed="false">
      <c r="C769" s="1"/>
      <c r="D769" s="1"/>
      <c r="E769" s="1"/>
      <c r="F769" s="1"/>
      <c r="G769" s="1"/>
    </row>
    <row r="770" customFormat="false" ht="15.75" hidden="false" customHeight="true" outlineLevel="0" collapsed="false">
      <c r="C770" s="1"/>
      <c r="D770" s="1"/>
      <c r="E770" s="1"/>
      <c r="F770" s="1"/>
      <c r="G770" s="1"/>
    </row>
    <row r="771" customFormat="false" ht="15.75" hidden="false" customHeight="true" outlineLevel="0" collapsed="false">
      <c r="C771" s="1"/>
      <c r="D771" s="1"/>
      <c r="E771" s="1"/>
      <c r="F771" s="1"/>
      <c r="G771" s="1"/>
    </row>
    <row r="772" customFormat="false" ht="15.75" hidden="false" customHeight="true" outlineLevel="0" collapsed="false">
      <c r="C772" s="1"/>
      <c r="D772" s="1"/>
      <c r="E772" s="1"/>
      <c r="F772" s="1"/>
      <c r="G772" s="1"/>
    </row>
    <row r="773" customFormat="false" ht="15.75" hidden="false" customHeight="true" outlineLevel="0" collapsed="false">
      <c r="C773" s="1"/>
      <c r="D773" s="1"/>
      <c r="E773" s="1"/>
      <c r="F773" s="1"/>
      <c r="G773" s="1"/>
    </row>
    <row r="774" customFormat="false" ht="15.75" hidden="false" customHeight="true" outlineLevel="0" collapsed="false">
      <c r="C774" s="1"/>
      <c r="D774" s="1"/>
      <c r="E774" s="1"/>
      <c r="F774" s="1"/>
      <c r="G774" s="1"/>
    </row>
    <row r="775" customFormat="false" ht="15.75" hidden="false" customHeight="true" outlineLevel="0" collapsed="false">
      <c r="C775" s="1"/>
      <c r="D775" s="1"/>
      <c r="E775" s="1"/>
      <c r="F775" s="1"/>
      <c r="G775" s="1"/>
    </row>
    <row r="776" customFormat="false" ht="15.75" hidden="false" customHeight="true" outlineLevel="0" collapsed="false">
      <c r="C776" s="1"/>
      <c r="D776" s="1"/>
      <c r="E776" s="1"/>
      <c r="F776" s="1"/>
      <c r="G776" s="1"/>
    </row>
    <row r="777" customFormat="false" ht="15.75" hidden="false" customHeight="true" outlineLevel="0" collapsed="false">
      <c r="C777" s="1"/>
      <c r="D777" s="1"/>
      <c r="E777" s="1"/>
      <c r="F777" s="1"/>
      <c r="G777" s="1"/>
    </row>
    <row r="778" customFormat="false" ht="15.75" hidden="false" customHeight="true" outlineLevel="0" collapsed="false">
      <c r="C778" s="1"/>
      <c r="D778" s="1"/>
      <c r="E778" s="1"/>
      <c r="F778" s="1"/>
      <c r="G778" s="1"/>
    </row>
    <row r="779" customFormat="false" ht="15.75" hidden="false" customHeight="true" outlineLevel="0" collapsed="false">
      <c r="C779" s="1"/>
      <c r="D779" s="1"/>
      <c r="E779" s="1"/>
      <c r="F779" s="1"/>
      <c r="G779" s="1"/>
    </row>
    <row r="780" customFormat="false" ht="15.75" hidden="false" customHeight="true" outlineLevel="0" collapsed="false">
      <c r="C780" s="1"/>
      <c r="D780" s="1"/>
      <c r="E780" s="1"/>
      <c r="F780" s="1"/>
      <c r="G780" s="1"/>
    </row>
    <row r="781" customFormat="false" ht="15.75" hidden="false" customHeight="true" outlineLevel="0" collapsed="false">
      <c r="C781" s="1"/>
      <c r="D781" s="1"/>
      <c r="E781" s="1"/>
      <c r="F781" s="1"/>
      <c r="G781" s="1"/>
    </row>
    <row r="782" customFormat="false" ht="15.75" hidden="false" customHeight="true" outlineLevel="0" collapsed="false">
      <c r="C782" s="1"/>
      <c r="D782" s="1"/>
      <c r="E782" s="1"/>
      <c r="F782" s="1"/>
      <c r="G782" s="1"/>
    </row>
    <row r="783" customFormat="false" ht="15.75" hidden="false" customHeight="true" outlineLevel="0" collapsed="false">
      <c r="C783" s="1"/>
      <c r="D783" s="1"/>
      <c r="E783" s="1"/>
      <c r="F783" s="1"/>
      <c r="G783" s="1"/>
    </row>
    <row r="784" customFormat="false" ht="15.75" hidden="false" customHeight="true" outlineLevel="0" collapsed="false">
      <c r="C784" s="1"/>
      <c r="D784" s="1"/>
      <c r="E784" s="1"/>
      <c r="F784" s="1"/>
      <c r="G784" s="1"/>
    </row>
    <row r="785" customFormat="false" ht="15.75" hidden="false" customHeight="true" outlineLevel="0" collapsed="false">
      <c r="C785" s="1"/>
      <c r="D785" s="1"/>
      <c r="E785" s="1"/>
      <c r="F785" s="1"/>
      <c r="G785" s="1"/>
    </row>
    <row r="786" customFormat="false" ht="15.75" hidden="false" customHeight="true" outlineLevel="0" collapsed="false">
      <c r="C786" s="1"/>
      <c r="D786" s="1"/>
      <c r="E786" s="1"/>
      <c r="F786" s="1"/>
      <c r="G786" s="1"/>
    </row>
    <row r="787" customFormat="false" ht="15.75" hidden="false" customHeight="true" outlineLevel="0" collapsed="false">
      <c r="C787" s="1"/>
      <c r="D787" s="1"/>
      <c r="E787" s="1"/>
      <c r="F787" s="1"/>
      <c r="G787" s="1"/>
    </row>
    <row r="788" customFormat="false" ht="15.75" hidden="false" customHeight="true" outlineLevel="0" collapsed="false">
      <c r="C788" s="1"/>
      <c r="D788" s="1"/>
      <c r="E788" s="1"/>
      <c r="F788" s="1"/>
      <c r="G788" s="1"/>
    </row>
    <row r="789" customFormat="false" ht="15.75" hidden="false" customHeight="true" outlineLevel="0" collapsed="false">
      <c r="C789" s="1"/>
      <c r="D789" s="1"/>
      <c r="E789" s="1"/>
      <c r="F789" s="1"/>
      <c r="G789" s="1"/>
    </row>
    <row r="790" customFormat="false" ht="15.75" hidden="false" customHeight="true" outlineLevel="0" collapsed="false">
      <c r="C790" s="1"/>
      <c r="D790" s="1"/>
      <c r="E790" s="1"/>
      <c r="F790" s="1"/>
      <c r="G790" s="1"/>
    </row>
    <row r="791" customFormat="false" ht="15.75" hidden="false" customHeight="true" outlineLevel="0" collapsed="false">
      <c r="C791" s="1"/>
      <c r="D791" s="1"/>
      <c r="E791" s="1"/>
      <c r="F791" s="1"/>
      <c r="G791" s="1"/>
    </row>
    <row r="792" customFormat="false" ht="15.75" hidden="false" customHeight="true" outlineLevel="0" collapsed="false">
      <c r="C792" s="1"/>
      <c r="D792" s="1"/>
      <c r="E792" s="1"/>
      <c r="F792" s="1"/>
      <c r="G792" s="1"/>
    </row>
    <row r="793" customFormat="false" ht="15.75" hidden="false" customHeight="true" outlineLevel="0" collapsed="false">
      <c r="C793" s="1"/>
      <c r="D793" s="1"/>
      <c r="E793" s="1"/>
      <c r="F793" s="1"/>
      <c r="G793" s="1"/>
    </row>
    <row r="794" customFormat="false" ht="15.75" hidden="false" customHeight="true" outlineLevel="0" collapsed="false">
      <c r="C794" s="1"/>
      <c r="D794" s="1"/>
      <c r="E794" s="1"/>
      <c r="F794" s="1"/>
      <c r="G794" s="1"/>
    </row>
    <row r="795" customFormat="false" ht="15.75" hidden="false" customHeight="true" outlineLevel="0" collapsed="false">
      <c r="C795" s="1"/>
      <c r="D795" s="1"/>
      <c r="E795" s="1"/>
      <c r="F795" s="1"/>
      <c r="G795" s="1"/>
    </row>
    <row r="796" customFormat="false" ht="15.75" hidden="false" customHeight="true" outlineLevel="0" collapsed="false">
      <c r="C796" s="1"/>
      <c r="D796" s="1"/>
      <c r="E796" s="1"/>
      <c r="F796" s="1"/>
      <c r="G796" s="1"/>
    </row>
    <row r="797" customFormat="false" ht="15.75" hidden="false" customHeight="true" outlineLevel="0" collapsed="false">
      <c r="C797" s="1"/>
      <c r="D797" s="1"/>
      <c r="E797" s="1"/>
      <c r="F797" s="1"/>
      <c r="G797" s="1"/>
    </row>
    <row r="798" customFormat="false" ht="15.75" hidden="false" customHeight="true" outlineLevel="0" collapsed="false">
      <c r="C798" s="1"/>
      <c r="D798" s="1"/>
      <c r="E798" s="1"/>
      <c r="F798" s="1"/>
      <c r="G798" s="1"/>
    </row>
    <row r="799" customFormat="false" ht="15.75" hidden="false" customHeight="true" outlineLevel="0" collapsed="false">
      <c r="C799" s="1"/>
      <c r="D799" s="1"/>
      <c r="E799" s="1"/>
      <c r="F799" s="1"/>
      <c r="G799" s="1"/>
    </row>
    <row r="800" customFormat="false" ht="15.75" hidden="false" customHeight="true" outlineLevel="0" collapsed="false">
      <c r="C800" s="1"/>
      <c r="D800" s="1"/>
      <c r="E800" s="1"/>
      <c r="F800" s="1"/>
      <c r="G800" s="1"/>
    </row>
    <row r="801" customFormat="false" ht="15.75" hidden="false" customHeight="true" outlineLevel="0" collapsed="false">
      <c r="C801" s="1"/>
      <c r="D801" s="1"/>
      <c r="E801" s="1"/>
      <c r="F801" s="1"/>
      <c r="G801" s="1"/>
    </row>
    <row r="802" customFormat="false" ht="15.75" hidden="false" customHeight="true" outlineLevel="0" collapsed="false">
      <c r="C802" s="1"/>
      <c r="D802" s="1"/>
      <c r="E802" s="1"/>
      <c r="F802" s="1"/>
      <c r="G802" s="1"/>
    </row>
    <row r="803" customFormat="false" ht="15.75" hidden="false" customHeight="true" outlineLevel="0" collapsed="false">
      <c r="C803" s="1"/>
      <c r="D803" s="1"/>
      <c r="E803" s="1"/>
      <c r="F803" s="1"/>
      <c r="G803" s="1"/>
    </row>
    <row r="804" customFormat="false" ht="15.75" hidden="false" customHeight="true" outlineLevel="0" collapsed="false">
      <c r="C804" s="1"/>
      <c r="D804" s="1"/>
      <c r="E804" s="1"/>
      <c r="F804" s="1"/>
      <c r="G804" s="1"/>
    </row>
    <row r="805" customFormat="false" ht="15.75" hidden="false" customHeight="true" outlineLevel="0" collapsed="false">
      <c r="C805" s="1"/>
      <c r="D805" s="1"/>
      <c r="E805" s="1"/>
      <c r="F805" s="1"/>
      <c r="G805" s="1"/>
    </row>
    <row r="806" customFormat="false" ht="15.75" hidden="false" customHeight="true" outlineLevel="0" collapsed="false">
      <c r="C806" s="1"/>
      <c r="D806" s="1"/>
      <c r="E806" s="1"/>
      <c r="F806" s="1"/>
      <c r="G806" s="1"/>
    </row>
    <row r="807" customFormat="false" ht="15.75" hidden="false" customHeight="true" outlineLevel="0" collapsed="false">
      <c r="C807" s="1"/>
      <c r="D807" s="1"/>
      <c r="E807" s="1"/>
      <c r="F807" s="1"/>
      <c r="G807" s="1"/>
    </row>
    <row r="808" customFormat="false" ht="15.75" hidden="false" customHeight="true" outlineLevel="0" collapsed="false">
      <c r="C808" s="1"/>
      <c r="D808" s="1"/>
      <c r="E808" s="1"/>
      <c r="F808" s="1"/>
      <c r="G808" s="1"/>
    </row>
    <row r="809" customFormat="false" ht="15.75" hidden="false" customHeight="true" outlineLevel="0" collapsed="false">
      <c r="C809" s="1"/>
      <c r="D809" s="1"/>
      <c r="E809" s="1"/>
      <c r="F809" s="1"/>
      <c r="G809" s="1"/>
    </row>
    <row r="810" customFormat="false" ht="15.75" hidden="false" customHeight="true" outlineLevel="0" collapsed="false">
      <c r="C810" s="1"/>
      <c r="D810" s="1"/>
      <c r="E810" s="1"/>
      <c r="F810" s="1"/>
      <c r="G810" s="1"/>
    </row>
    <row r="811" customFormat="false" ht="15.75" hidden="false" customHeight="true" outlineLevel="0" collapsed="false">
      <c r="C811" s="1"/>
      <c r="D811" s="1"/>
      <c r="E811" s="1"/>
      <c r="F811" s="1"/>
      <c r="G811" s="1"/>
    </row>
    <row r="812" customFormat="false" ht="15.75" hidden="false" customHeight="true" outlineLevel="0" collapsed="false">
      <c r="C812" s="1"/>
      <c r="D812" s="1"/>
      <c r="E812" s="1"/>
      <c r="F812" s="1"/>
      <c r="G812" s="1"/>
    </row>
    <row r="813" customFormat="false" ht="15.75" hidden="false" customHeight="true" outlineLevel="0" collapsed="false">
      <c r="C813" s="1"/>
      <c r="D813" s="1"/>
      <c r="E813" s="1"/>
      <c r="F813" s="1"/>
      <c r="G813" s="1"/>
    </row>
    <row r="814" customFormat="false" ht="15.75" hidden="false" customHeight="true" outlineLevel="0" collapsed="false">
      <c r="C814" s="1"/>
      <c r="D814" s="1"/>
      <c r="E814" s="1"/>
      <c r="F814" s="1"/>
      <c r="G814" s="1"/>
    </row>
    <row r="815" customFormat="false" ht="15.75" hidden="false" customHeight="true" outlineLevel="0" collapsed="false">
      <c r="C815" s="1"/>
      <c r="D815" s="1"/>
      <c r="E815" s="1"/>
      <c r="F815" s="1"/>
      <c r="G815" s="1"/>
    </row>
    <row r="816" customFormat="false" ht="15.75" hidden="false" customHeight="true" outlineLevel="0" collapsed="false">
      <c r="C816" s="1"/>
      <c r="D816" s="1"/>
      <c r="E816" s="1"/>
      <c r="F816" s="1"/>
      <c r="G816" s="1"/>
    </row>
    <row r="817" customFormat="false" ht="15.75" hidden="false" customHeight="true" outlineLevel="0" collapsed="false">
      <c r="C817" s="1"/>
      <c r="D817" s="1"/>
      <c r="E817" s="1"/>
      <c r="F817" s="1"/>
      <c r="G817" s="1"/>
    </row>
    <row r="818" customFormat="false" ht="15.75" hidden="false" customHeight="true" outlineLevel="0" collapsed="false">
      <c r="C818" s="1"/>
      <c r="D818" s="1"/>
      <c r="E818" s="1"/>
      <c r="F818" s="1"/>
      <c r="G818" s="1"/>
    </row>
    <row r="819" customFormat="false" ht="15.75" hidden="false" customHeight="true" outlineLevel="0" collapsed="false">
      <c r="C819" s="1"/>
      <c r="D819" s="1"/>
      <c r="E819" s="1"/>
      <c r="F819" s="1"/>
      <c r="G819" s="1"/>
    </row>
    <row r="820" customFormat="false" ht="15.75" hidden="false" customHeight="true" outlineLevel="0" collapsed="false">
      <c r="C820" s="1"/>
      <c r="D820" s="1"/>
      <c r="E820" s="1"/>
      <c r="F820" s="1"/>
      <c r="G820" s="1"/>
    </row>
    <row r="821" customFormat="false" ht="15.75" hidden="false" customHeight="true" outlineLevel="0" collapsed="false">
      <c r="C821" s="1"/>
      <c r="D821" s="1"/>
      <c r="E821" s="1"/>
      <c r="F821" s="1"/>
      <c r="G821" s="1"/>
    </row>
    <row r="822" customFormat="false" ht="15.75" hidden="false" customHeight="true" outlineLevel="0" collapsed="false">
      <c r="C822" s="1"/>
      <c r="D822" s="1"/>
      <c r="E822" s="1"/>
      <c r="F822" s="1"/>
      <c r="G822" s="1"/>
    </row>
    <row r="823" customFormat="false" ht="15.75" hidden="false" customHeight="true" outlineLevel="0" collapsed="false">
      <c r="C823" s="1"/>
      <c r="D823" s="1"/>
      <c r="E823" s="1"/>
      <c r="F823" s="1"/>
      <c r="G823" s="1"/>
    </row>
    <row r="824" customFormat="false" ht="15.75" hidden="false" customHeight="true" outlineLevel="0" collapsed="false">
      <c r="C824" s="1"/>
      <c r="D824" s="1"/>
      <c r="E824" s="1"/>
      <c r="F824" s="1"/>
      <c r="G824" s="1"/>
    </row>
    <row r="825" customFormat="false" ht="15.75" hidden="false" customHeight="true" outlineLevel="0" collapsed="false">
      <c r="C825" s="1"/>
      <c r="D825" s="1"/>
      <c r="E825" s="1"/>
      <c r="F825" s="1"/>
      <c r="G825" s="1"/>
    </row>
    <row r="826" customFormat="false" ht="15.75" hidden="false" customHeight="true" outlineLevel="0" collapsed="false">
      <c r="C826" s="1"/>
      <c r="D826" s="1"/>
      <c r="E826" s="1"/>
      <c r="F826" s="1"/>
      <c r="G826" s="1"/>
    </row>
    <row r="827" customFormat="false" ht="15.75" hidden="false" customHeight="true" outlineLevel="0" collapsed="false">
      <c r="C827" s="1"/>
      <c r="D827" s="1"/>
      <c r="E827" s="1"/>
      <c r="F827" s="1"/>
      <c r="G827" s="1"/>
    </row>
    <row r="828" customFormat="false" ht="15.75" hidden="false" customHeight="true" outlineLevel="0" collapsed="false">
      <c r="C828" s="1"/>
      <c r="D828" s="1"/>
      <c r="E828" s="1"/>
      <c r="F828" s="1"/>
      <c r="G828" s="1"/>
    </row>
    <row r="829" customFormat="false" ht="15.75" hidden="false" customHeight="true" outlineLevel="0" collapsed="false">
      <c r="C829" s="1"/>
      <c r="D829" s="1"/>
      <c r="E829" s="1"/>
      <c r="F829" s="1"/>
      <c r="G829" s="1"/>
    </row>
    <row r="830" customFormat="false" ht="15.75" hidden="false" customHeight="true" outlineLevel="0" collapsed="false">
      <c r="C830" s="1"/>
      <c r="D830" s="1"/>
      <c r="E830" s="1"/>
      <c r="F830" s="1"/>
      <c r="G830" s="1"/>
    </row>
    <row r="831" customFormat="false" ht="15.75" hidden="false" customHeight="true" outlineLevel="0" collapsed="false">
      <c r="C831" s="1"/>
      <c r="D831" s="1"/>
      <c r="E831" s="1"/>
      <c r="F831" s="1"/>
      <c r="G831" s="1"/>
    </row>
    <row r="832" customFormat="false" ht="15.75" hidden="false" customHeight="true" outlineLevel="0" collapsed="false">
      <c r="C832" s="1"/>
      <c r="D832" s="1"/>
      <c r="E832" s="1"/>
      <c r="F832" s="1"/>
      <c r="G832" s="1"/>
    </row>
    <row r="833" customFormat="false" ht="15.75" hidden="false" customHeight="true" outlineLevel="0" collapsed="false">
      <c r="C833" s="1"/>
      <c r="D833" s="1"/>
      <c r="E833" s="1"/>
      <c r="F833" s="1"/>
      <c r="G833" s="1"/>
    </row>
    <row r="834" customFormat="false" ht="15.75" hidden="false" customHeight="true" outlineLevel="0" collapsed="false">
      <c r="C834" s="1"/>
      <c r="D834" s="1"/>
      <c r="E834" s="1"/>
      <c r="F834" s="1"/>
      <c r="G834" s="1"/>
    </row>
    <row r="835" customFormat="false" ht="15.75" hidden="false" customHeight="true" outlineLevel="0" collapsed="false">
      <c r="C835" s="1"/>
      <c r="D835" s="1"/>
      <c r="E835" s="1"/>
      <c r="F835" s="1"/>
      <c r="G835" s="1"/>
    </row>
    <row r="836" customFormat="false" ht="15.75" hidden="false" customHeight="true" outlineLevel="0" collapsed="false">
      <c r="C836" s="1"/>
      <c r="D836" s="1"/>
      <c r="E836" s="1"/>
      <c r="F836" s="1"/>
      <c r="G836" s="1"/>
    </row>
    <row r="837" customFormat="false" ht="15.75" hidden="false" customHeight="true" outlineLevel="0" collapsed="false">
      <c r="C837" s="1"/>
      <c r="D837" s="1"/>
      <c r="E837" s="1"/>
      <c r="F837" s="1"/>
      <c r="G837" s="1"/>
    </row>
    <row r="838" customFormat="false" ht="15.75" hidden="false" customHeight="true" outlineLevel="0" collapsed="false">
      <c r="C838" s="1"/>
      <c r="D838" s="1"/>
      <c r="E838" s="1"/>
      <c r="F838" s="1"/>
      <c r="G838" s="1"/>
    </row>
    <row r="839" customFormat="false" ht="15.75" hidden="false" customHeight="true" outlineLevel="0" collapsed="false">
      <c r="C839" s="1"/>
      <c r="D839" s="1"/>
      <c r="E839" s="1"/>
      <c r="F839" s="1"/>
      <c r="G839" s="1"/>
    </row>
    <row r="840" customFormat="false" ht="15.75" hidden="false" customHeight="true" outlineLevel="0" collapsed="false">
      <c r="C840" s="1"/>
      <c r="D840" s="1"/>
      <c r="E840" s="1"/>
      <c r="F840" s="1"/>
      <c r="G840" s="1"/>
    </row>
    <row r="841" customFormat="false" ht="15.75" hidden="false" customHeight="true" outlineLevel="0" collapsed="false">
      <c r="C841" s="1"/>
      <c r="D841" s="1"/>
      <c r="E841" s="1"/>
      <c r="F841" s="1"/>
      <c r="G841" s="1"/>
    </row>
    <row r="842" customFormat="false" ht="15.75" hidden="false" customHeight="true" outlineLevel="0" collapsed="false">
      <c r="C842" s="1"/>
      <c r="D842" s="1"/>
      <c r="E842" s="1"/>
      <c r="F842" s="1"/>
      <c r="G842" s="1"/>
    </row>
    <row r="843" customFormat="false" ht="15.75" hidden="false" customHeight="true" outlineLevel="0" collapsed="false">
      <c r="C843" s="1"/>
      <c r="D843" s="1"/>
      <c r="E843" s="1"/>
      <c r="F843" s="1"/>
      <c r="G843" s="1"/>
    </row>
    <row r="844" customFormat="false" ht="15.75" hidden="false" customHeight="true" outlineLevel="0" collapsed="false">
      <c r="C844" s="1"/>
      <c r="D844" s="1"/>
      <c r="E844" s="1"/>
      <c r="F844" s="1"/>
      <c r="G844" s="1"/>
    </row>
    <row r="845" customFormat="false" ht="15.75" hidden="false" customHeight="true" outlineLevel="0" collapsed="false">
      <c r="C845" s="1"/>
      <c r="D845" s="1"/>
      <c r="E845" s="1"/>
      <c r="F845" s="1"/>
      <c r="G845" s="1"/>
    </row>
    <row r="846" customFormat="false" ht="15.75" hidden="false" customHeight="true" outlineLevel="0" collapsed="false">
      <c r="C846" s="1"/>
      <c r="D846" s="1"/>
      <c r="E846" s="1"/>
      <c r="F846" s="1"/>
      <c r="G846" s="1"/>
    </row>
    <row r="847" customFormat="false" ht="15.75" hidden="false" customHeight="true" outlineLevel="0" collapsed="false">
      <c r="C847" s="1"/>
      <c r="D847" s="1"/>
      <c r="E847" s="1"/>
      <c r="F847" s="1"/>
      <c r="G847" s="1"/>
    </row>
    <row r="848" customFormat="false" ht="15.75" hidden="false" customHeight="true" outlineLevel="0" collapsed="false">
      <c r="C848" s="1"/>
      <c r="D848" s="1"/>
      <c r="E848" s="1"/>
      <c r="F848" s="1"/>
      <c r="G848" s="1"/>
    </row>
    <row r="849" customFormat="false" ht="15.75" hidden="false" customHeight="true" outlineLevel="0" collapsed="false">
      <c r="C849" s="1"/>
      <c r="D849" s="1"/>
      <c r="E849" s="1"/>
      <c r="F849" s="1"/>
      <c r="G849" s="1"/>
    </row>
    <row r="850" customFormat="false" ht="15.75" hidden="false" customHeight="true" outlineLevel="0" collapsed="false">
      <c r="C850" s="1"/>
      <c r="D850" s="1"/>
      <c r="E850" s="1"/>
      <c r="F850" s="1"/>
      <c r="G850" s="1"/>
    </row>
    <row r="851" customFormat="false" ht="15.75" hidden="false" customHeight="true" outlineLevel="0" collapsed="false">
      <c r="C851" s="1"/>
      <c r="D851" s="1"/>
      <c r="E851" s="1"/>
      <c r="F851" s="1"/>
      <c r="G851" s="1"/>
    </row>
    <row r="852" customFormat="false" ht="15.75" hidden="false" customHeight="true" outlineLevel="0" collapsed="false">
      <c r="C852" s="1"/>
      <c r="D852" s="1"/>
      <c r="E852" s="1"/>
      <c r="F852" s="1"/>
      <c r="G852" s="1"/>
    </row>
    <row r="853" customFormat="false" ht="15.75" hidden="false" customHeight="true" outlineLevel="0" collapsed="false">
      <c r="C853" s="1"/>
      <c r="D853" s="1"/>
      <c r="E853" s="1"/>
      <c r="F853" s="1"/>
      <c r="G853" s="1"/>
    </row>
    <row r="854" customFormat="false" ht="15.75" hidden="false" customHeight="true" outlineLevel="0" collapsed="false">
      <c r="C854" s="1"/>
      <c r="D854" s="1"/>
      <c r="E854" s="1"/>
      <c r="F854" s="1"/>
      <c r="G854" s="1"/>
    </row>
    <row r="855" customFormat="false" ht="15.75" hidden="false" customHeight="true" outlineLevel="0" collapsed="false">
      <c r="C855" s="1"/>
      <c r="D855" s="1"/>
      <c r="E855" s="1"/>
      <c r="F855" s="1"/>
      <c r="G855" s="1"/>
    </row>
    <row r="856" customFormat="false" ht="15.75" hidden="false" customHeight="true" outlineLevel="0" collapsed="false">
      <c r="C856" s="1"/>
      <c r="D856" s="1"/>
      <c r="E856" s="1"/>
      <c r="F856" s="1"/>
      <c r="G856" s="1"/>
    </row>
    <row r="857" customFormat="false" ht="15.75" hidden="false" customHeight="true" outlineLevel="0" collapsed="false">
      <c r="C857" s="1"/>
      <c r="D857" s="1"/>
      <c r="E857" s="1"/>
      <c r="F857" s="1"/>
      <c r="G857" s="1"/>
    </row>
    <row r="858" customFormat="false" ht="15.75" hidden="false" customHeight="true" outlineLevel="0" collapsed="false">
      <c r="C858" s="1"/>
      <c r="D858" s="1"/>
      <c r="E858" s="1"/>
      <c r="F858" s="1"/>
      <c r="G858" s="1"/>
    </row>
    <row r="859" customFormat="false" ht="15.75" hidden="false" customHeight="true" outlineLevel="0" collapsed="false">
      <c r="C859" s="1"/>
      <c r="D859" s="1"/>
      <c r="E859" s="1"/>
      <c r="F859" s="1"/>
      <c r="G859" s="1"/>
    </row>
    <row r="860" customFormat="false" ht="15.75" hidden="false" customHeight="true" outlineLevel="0" collapsed="false">
      <c r="C860" s="1"/>
      <c r="D860" s="1"/>
      <c r="E860" s="1"/>
      <c r="F860" s="1"/>
      <c r="G860" s="1"/>
    </row>
    <row r="861" customFormat="false" ht="15.75" hidden="false" customHeight="true" outlineLevel="0" collapsed="false">
      <c r="C861" s="1"/>
      <c r="D861" s="1"/>
      <c r="E861" s="1"/>
      <c r="F861" s="1"/>
      <c r="G861" s="1"/>
    </row>
    <row r="862" customFormat="false" ht="15.75" hidden="false" customHeight="true" outlineLevel="0" collapsed="false">
      <c r="C862" s="1"/>
      <c r="D862" s="1"/>
      <c r="E862" s="1"/>
      <c r="F862" s="1"/>
      <c r="G862" s="1"/>
    </row>
    <row r="863" customFormat="false" ht="15.75" hidden="false" customHeight="true" outlineLevel="0" collapsed="false">
      <c r="C863" s="1"/>
      <c r="D863" s="1"/>
      <c r="E863" s="1"/>
      <c r="F863" s="1"/>
      <c r="G863" s="1"/>
    </row>
    <row r="864" customFormat="false" ht="15.75" hidden="false" customHeight="true" outlineLevel="0" collapsed="false">
      <c r="C864" s="1"/>
      <c r="D864" s="1"/>
      <c r="E864" s="1"/>
      <c r="F864" s="1"/>
      <c r="G864" s="1"/>
    </row>
    <row r="865" customFormat="false" ht="15.75" hidden="false" customHeight="true" outlineLevel="0" collapsed="false">
      <c r="C865" s="1"/>
      <c r="D865" s="1"/>
      <c r="E865" s="1"/>
      <c r="F865" s="1"/>
      <c r="G865" s="1"/>
    </row>
    <row r="866" customFormat="false" ht="15.75" hidden="false" customHeight="true" outlineLevel="0" collapsed="false">
      <c r="C866" s="1"/>
      <c r="D866" s="1"/>
      <c r="E866" s="1"/>
      <c r="F866" s="1"/>
      <c r="G866" s="1"/>
    </row>
    <row r="867" customFormat="false" ht="15.75" hidden="false" customHeight="true" outlineLevel="0" collapsed="false">
      <c r="C867" s="1"/>
      <c r="D867" s="1"/>
      <c r="E867" s="1"/>
      <c r="F867" s="1"/>
      <c r="G867" s="1"/>
    </row>
    <row r="868" customFormat="false" ht="15.75" hidden="false" customHeight="true" outlineLevel="0" collapsed="false">
      <c r="C868" s="1"/>
      <c r="D868" s="1"/>
      <c r="E868" s="1"/>
      <c r="F868" s="1"/>
      <c r="G868" s="1"/>
    </row>
    <row r="869" customFormat="false" ht="15.75" hidden="false" customHeight="true" outlineLevel="0" collapsed="false">
      <c r="C869" s="1"/>
      <c r="D869" s="1"/>
      <c r="E869" s="1"/>
      <c r="F869" s="1"/>
      <c r="G869" s="1"/>
    </row>
    <row r="870" customFormat="false" ht="15.75" hidden="false" customHeight="true" outlineLevel="0" collapsed="false">
      <c r="C870" s="1"/>
      <c r="D870" s="1"/>
      <c r="E870" s="1"/>
      <c r="F870" s="1"/>
      <c r="G870" s="1"/>
    </row>
    <row r="871" customFormat="false" ht="15.75" hidden="false" customHeight="true" outlineLevel="0" collapsed="false">
      <c r="C871" s="1"/>
      <c r="D871" s="1"/>
      <c r="E871" s="1"/>
      <c r="F871" s="1"/>
      <c r="G871" s="1"/>
    </row>
    <row r="872" customFormat="false" ht="15.75" hidden="false" customHeight="true" outlineLevel="0" collapsed="false">
      <c r="C872" s="1"/>
      <c r="D872" s="1"/>
      <c r="E872" s="1"/>
      <c r="F872" s="1"/>
      <c r="G872" s="1"/>
    </row>
    <row r="873" customFormat="false" ht="15.75" hidden="false" customHeight="true" outlineLevel="0" collapsed="false">
      <c r="C873" s="1"/>
      <c r="D873" s="1"/>
      <c r="E873" s="1"/>
      <c r="F873" s="1"/>
      <c r="G873" s="1"/>
    </row>
    <row r="874" customFormat="false" ht="15.75" hidden="false" customHeight="true" outlineLevel="0" collapsed="false">
      <c r="C874" s="1"/>
      <c r="D874" s="1"/>
      <c r="E874" s="1"/>
      <c r="F874" s="1"/>
      <c r="G874" s="1"/>
    </row>
    <row r="875" customFormat="false" ht="15.75" hidden="false" customHeight="true" outlineLevel="0" collapsed="false">
      <c r="C875" s="1"/>
      <c r="D875" s="1"/>
      <c r="E875" s="1"/>
      <c r="F875" s="1"/>
      <c r="G875" s="1"/>
    </row>
    <row r="876" customFormat="false" ht="15.75" hidden="false" customHeight="true" outlineLevel="0" collapsed="false">
      <c r="C876" s="1"/>
      <c r="D876" s="1"/>
      <c r="E876" s="1"/>
      <c r="F876" s="1"/>
      <c r="G876" s="1"/>
    </row>
    <row r="877" customFormat="false" ht="15.75" hidden="false" customHeight="true" outlineLevel="0" collapsed="false">
      <c r="C877" s="1"/>
      <c r="D877" s="1"/>
      <c r="E877" s="1"/>
      <c r="F877" s="1"/>
      <c r="G877" s="1"/>
    </row>
    <row r="878" customFormat="false" ht="15.75" hidden="false" customHeight="true" outlineLevel="0" collapsed="false">
      <c r="C878" s="1"/>
      <c r="D878" s="1"/>
      <c r="E878" s="1"/>
      <c r="F878" s="1"/>
      <c r="G878" s="1"/>
    </row>
    <row r="879" customFormat="false" ht="15.75" hidden="false" customHeight="true" outlineLevel="0" collapsed="false">
      <c r="C879" s="1"/>
      <c r="D879" s="1"/>
      <c r="E879" s="1"/>
      <c r="F879" s="1"/>
      <c r="G879" s="1"/>
    </row>
    <row r="880" customFormat="false" ht="15.75" hidden="false" customHeight="true" outlineLevel="0" collapsed="false">
      <c r="C880" s="1"/>
      <c r="D880" s="1"/>
      <c r="E880" s="1"/>
      <c r="F880" s="1"/>
      <c r="G880" s="1"/>
    </row>
    <row r="881" customFormat="false" ht="15.75" hidden="false" customHeight="true" outlineLevel="0" collapsed="false">
      <c r="C881" s="1"/>
      <c r="D881" s="1"/>
      <c r="E881" s="1"/>
      <c r="F881" s="1"/>
      <c r="G881" s="1"/>
    </row>
    <row r="882" customFormat="false" ht="15.75" hidden="false" customHeight="true" outlineLevel="0" collapsed="false">
      <c r="C882" s="1"/>
      <c r="D882" s="1"/>
      <c r="E882" s="1"/>
      <c r="F882" s="1"/>
      <c r="G882" s="1"/>
    </row>
    <row r="883" customFormat="false" ht="15.75" hidden="false" customHeight="true" outlineLevel="0" collapsed="false">
      <c r="C883" s="1"/>
      <c r="D883" s="1"/>
      <c r="E883" s="1"/>
      <c r="F883" s="1"/>
      <c r="G883" s="1"/>
    </row>
    <row r="884" customFormat="false" ht="15.75" hidden="false" customHeight="true" outlineLevel="0" collapsed="false">
      <c r="C884" s="1"/>
      <c r="D884" s="1"/>
      <c r="E884" s="1"/>
      <c r="F884" s="1"/>
      <c r="G884" s="1"/>
    </row>
    <row r="885" customFormat="false" ht="15.75" hidden="false" customHeight="true" outlineLevel="0" collapsed="false">
      <c r="C885" s="1"/>
      <c r="D885" s="1"/>
      <c r="E885" s="1"/>
      <c r="F885" s="1"/>
      <c r="G885" s="1"/>
    </row>
    <row r="886" customFormat="false" ht="15.75" hidden="false" customHeight="true" outlineLevel="0" collapsed="false">
      <c r="C886" s="1"/>
      <c r="D886" s="1"/>
      <c r="E886" s="1"/>
      <c r="F886" s="1"/>
      <c r="G886" s="1"/>
    </row>
    <row r="887" customFormat="false" ht="15.75" hidden="false" customHeight="true" outlineLevel="0" collapsed="false">
      <c r="C887" s="1"/>
      <c r="D887" s="1"/>
      <c r="E887" s="1"/>
      <c r="F887" s="1"/>
      <c r="G887" s="1"/>
    </row>
    <row r="888" customFormat="false" ht="15.75" hidden="false" customHeight="true" outlineLevel="0" collapsed="false">
      <c r="C888" s="1"/>
      <c r="D888" s="1"/>
      <c r="E888" s="1"/>
      <c r="F888" s="1"/>
      <c r="G888" s="1"/>
    </row>
    <row r="889" customFormat="false" ht="15.75" hidden="false" customHeight="true" outlineLevel="0" collapsed="false">
      <c r="C889" s="1"/>
      <c r="D889" s="1"/>
      <c r="E889" s="1"/>
      <c r="F889" s="1"/>
      <c r="G889" s="1"/>
    </row>
    <row r="890" customFormat="false" ht="15.75" hidden="false" customHeight="true" outlineLevel="0" collapsed="false">
      <c r="C890" s="1"/>
      <c r="D890" s="1"/>
      <c r="E890" s="1"/>
      <c r="F890" s="1"/>
      <c r="G890" s="1"/>
    </row>
    <row r="891" customFormat="false" ht="15.75" hidden="false" customHeight="true" outlineLevel="0" collapsed="false">
      <c r="C891" s="1"/>
      <c r="D891" s="1"/>
      <c r="E891" s="1"/>
      <c r="F891" s="1"/>
      <c r="G891" s="1"/>
    </row>
    <row r="892" customFormat="false" ht="15.75" hidden="false" customHeight="true" outlineLevel="0" collapsed="false">
      <c r="C892" s="1"/>
      <c r="D892" s="1"/>
      <c r="E892" s="1"/>
      <c r="F892" s="1"/>
      <c r="G892" s="1"/>
    </row>
    <row r="893" customFormat="false" ht="15.75" hidden="false" customHeight="true" outlineLevel="0" collapsed="false">
      <c r="C893" s="1"/>
      <c r="D893" s="1"/>
      <c r="E893" s="1"/>
      <c r="F893" s="1"/>
      <c r="G893" s="1"/>
    </row>
    <row r="894" customFormat="false" ht="15.75" hidden="false" customHeight="true" outlineLevel="0" collapsed="false">
      <c r="C894" s="1"/>
      <c r="D894" s="1"/>
      <c r="E894" s="1"/>
      <c r="F894" s="1"/>
      <c r="G894" s="1"/>
    </row>
    <row r="895" customFormat="false" ht="15.75" hidden="false" customHeight="true" outlineLevel="0" collapsed="false">
      <c r="C895" s="1"/>
      <c r="D895" s="1"/>
      <c r="E895" s="1"/>
      <c r="F895" s="1"/>
      <c r="G895" s="1"/>
    </row>
    <row r="896" customFormat="false" ht="15.75" hidden="false" customHeight="true" outlineLevel="0" collapsed="false">
      <c r="C896" s="1"/>
      <c r="D896" s="1"/>
      <c r="E896" s="1"/>
      <c r="F896" s="1"/>
      <c r="G896" s="1"/>
    </row>
    <row r="897" customFormat="false" ht="15.75" hidden="false" customHeight="true" outlineLevel="0" collapsed="false">
      <c r="C897" s="1"/>
      <c r="D897" s="1"/>
      <c r="E897" s="1"/>
      <c r="F897" s="1"/>
      <c r="G897" s="1"/>
    </row>
    <row r="898" customFormat="false" ht="15.75" hidden="false" customHeight="true" outlineLevel="0" collapsed="false">
      <c r="C898" s="1"/>
      <c r="D898" s="1"/>
      <c r="E898" s="1"/>
      <c r="F898" s="1"/>
      <c r="G898" s="1"/>
    </row>
    <row r="899" customFormat="false" ht="15.75" hidden="false" customHeight="true" outlineLevel="0" collapsed="false">
      <c r="C899" s="1"/>
      <c r="D899" s="1"/>
      <c r="E899" s="1"/>
      <c r="F899" s="1"/>
      <c r="G899" s="1"/>
    </row>
    <row r="900" customFormat="false" ht="15.75" hidden="false" customHeight="true" outlineLevel="0" collapsed="false">
      <c r="C900" s="1"/>
      <c r="D900" s="1"/>
      <c r="E900" s="1"/>
      <c r="F900" s="1"/>
      <c r="G900" s="1"/>
    </row>
    <row r="901" customFormat="false" ht="15.75" hidden="false" customHeight="true" outlineLevel="0" collapsed="false">
      <c r="C901" s="1"/>
      <c r="D901" s="1"/>
      <c r="E901" s="1"/>
      <c r="F901" s="1"/>
      <c r="G901" s="1"/>
    </row>
    <row r="902" customFormat="false" ht="15.75" hidden="false" customHeight="true" outlineLevel="0" collapsed="false">
      <c r="C902" s="1"/>
      <c r="D902" s="1"/>
      <c r="E902" s="1"/>
      <c r="F902" s="1"/>
      <c r="G902" s="1"/>
    </row>
    <row r="903" customFormat="false" ht="15.75" hidden="false" customHeight="true" outlineLevel="0" collapsed="false">
      <c r="C903" s="1"/>
      <c r="D903" s="1"/>
      <c r="E903" s="1"/>
      <c r="F903" s="1"/>
      <c r="G903" s="1"/>
    </row>
    <row r="904" customFormat="false" ht="15.75" hidden="false" customHeight="true" outlineLevel="0" collapsed="false">
      <c r="C904" s="1"/>
      <c r="D904" s="1"/>
      <c r="E904" s="1"/>
      <c r="F904" s="1"/>
      <c r="G904" s="1"/>
    </row>
    <row r="905" customFormat="false" ht="15.75" hidden="false" customHeight="true" outlineLevel="0" collapsed="false">
      <c r="C905" s="1"/>
      <c r="D905" s="1"/>
      <c r="E905" s="1"/>
      <c r="F905" s="1"/>
      <c r="G905" s="1"/>
    </row>
    <row r="906" customFormat="false" ht="15.75" hidden="false" customHeight="true" outlineLevel="0" collapsed="false">
      <c r="C906" s="1"/>
      <c r="D906" s="1"/>
      <c r="E906" s="1"/>
      <c r="F906" s="1"/>
      <c r="G906" s="1"/>
    </row>
    <row r="907" customFormat="false" ht="15.75" hidden="false" customHeight="true" outlineLevel="0" collapsed="false">
      <c r="C907" s="1"/>
      <c r="D907" s="1"/>
      <c r="E907" s="1"/>
      <c r="F907" s="1"/>
      <c r="G907" s="1"/>
    </row>
    <row r="908" customFormat="false" ht="15.75" hidden="false" customHeight="true" outlineLevel="0" collapsed="false">
      <c r="C908" s="1"/>
      <c r="D908" s="1"/>
      <c r="E908" s="1"/>
      <c r="F908" s="1"/>
      <c r="G908" s="1"/>
    </row>
    <row r="909" customFormat="false" ht="15.75" hidden="false" customHeight="true" outlineLevel="0" collapsed="false">
      <c r="C909" s="1"/>
      <c r="D909" s="1"/>
      <c r="E909" s="1"/>
      <c r="F909" s="1"/>
      <c r="G909" s="1"/>
    </row>
    <row r="910" customFormat="false" ht="15.75" hidden="false" customHeight="true" outlineLevel="0" collapsed="false">
      <c r="C910" s="1"/>
      <c r="D910" s="1"/>
      <c r="E910" s="1"/>
      <c r="F910" s="1"/>
      <c r="G910" s="1"/>
    </row>
    <row r="911" customFormat="false" ht="15.75" hidden="false" customHeight="true" outlineLevel="0" collapsed="false">
      <c r="C911" s="1"/>
      <c r="D911" s="1"/>
      <c r="E911" s="1"/>
      <c r="F911" s="1"/>
      <c r="G911" s="1"/>
    </row>
    <row r="912" customFormat="false" ht="15.75" hidden="false" customHeight="true" outlineLevel="0" collapsed="false">
      <c r="C912" s="1"/>
      <c r="D912" s="1"/>
      <c r="E912" s="1"/>
      <c r="F912" s="1"/>
      <c r="G912" s="1"/>
    </row>
    <row r="913" customFormat="false" ht="15.75" hidden="false" customHeight="true" outlineLevel="0" collapsed="false">
      <c r="C913" s="1"/>
      <c r="D913" s="1"/>
      <c r="E913" s="1"/>
      <c r="F913" s="1"/>
      <c r="G913" s="1"/>
    </row>
    <row r="914" customFormat="false" ht="15.75" hidden="false" customHeight="true" outlineLevel="0" collapsed="false">
      <c r="C914" s="1"/>
      <c r="D914" s="1"/>
      <c r="E914" s="1"/>
      <c r="F914" s="1"/>
      <c r="G914" s="1"/>
    </row>
    <row r="915" customFormat="false" ht="15.75" hidden="false" customHeight="true" outlineLevel="0" collapsed="false">
      <c r="C915" s="1"/>
      <c r="D915" s="1"/>
      <c r="E915" s="1"/>
      <c r="F915" s="1"/>
      <c r="G915" s="1"/>
    </row>
    <row r="916" customFormat="false" ht="15.75" hidden="false" customHeight="true" outlineLevel="0" collapsed="false">
      <c r="C916" s="1"/>
      <c r="D916" s="1"/>
      <c r="E916" s="1"/>
      <c r="F916" s="1"/>
      <c r="G916" s="1"/>
    </row>
    <row r="917" customFormat="false" ht="15.75" hidden="false" customHeight="true" outlineLevel="0" collapsed="false">
      <c r="C917" s="1"/>
      <c r="D917" s="1"/>
      <c r="E917" s="1"/>
      <c r="F917" s="1"/>
      <c r="G917" s="1"/>
    </row>
    <row r="918" customFormat="false" ht="15.75" hidden="false" customHeight="true" outlineLevel="0" collapsed="false">
      <c r="C918" s="1"/>
      <c r="D918" s="1"/>
      <c r="E918" s="1"/>
      <c r="F918" s="1"/>
      <c r="G918" s="1"/>
    </row>
    <row r="919" customFormat="false" ht="15.75" hidden="false" customHeight="true" outlineLevel="0" collapsed="false">
      <c r="C919" s="1"/>
      <c r="D919" s="1"/>
      <c r="E919" s="1"/>
      <c r="F919" s="1"/>
      <c r="G919" s="1"/>
    </row>
    <row r="920" customFormat="false" ht="15.75" hidden="false" customHeight="true" outlineLevel="0" collapsed="false">
      <c r="C920" s="1"/>
      <c r="D920" s="1"/>
      <c r="E920" s="1"/>
      <c r="F920" s="1"/>
      <c r="G920" s="1"/>
    </row>
    <row r="921" customFormat="false" ht="15.75" hidden="false" customHeight="true" outlineLevel="0" collapsed="false">
      <c r="C921" s="1"/>
      <c r="D921" s="1"/>
      <c r="E921" s="1"/>
      <c r="F921" s="1"/>
      <c r="G921" s="1"/>
    </row>
    <row r="922" customFormat="false" ht="15.75" hidden="false" customHeight="true" outlineLevel="0" collapsed="false">
      <c r="C922" s="1"/>
      <c r="D922" s="1"/>
      <c r="E922" s="1"/>
      <c r="F922" s="1"/>
      <c r="G922" s="1"/>
    </row>
    <row r="923" customFormat="false" ht="15.75" hidden="false" customHeight="true" outlineLevel="0" collapsed="false">
      <c r="C923" s="1"/>
      <c r="D923" s="1"/>
      <c r="E923" s="1"/>
      <c r="F923" s="1"/>
      <c r="G923" s="1"/>
    </row>
    <row r="924" customFormat="false" ht="15.75" hidden="false" customHeight="true" outlineLevel="0" collapsed="false">
      <c r="C924" s="1"/>
      <c r="D924" s="1"/>
      <c r="E924" s="1"/>
      <c r="F924" s="1"/>
      <c r="G924" s="1"/>
    </row>
    <row r="925" customFormat="false" ht="15.75" hidden="false" customHeight="true" outlineLevel="0" collapsed="false">
      <c r="C925" s="1"/>
      <c r="D925" s="1"/>
      <c r="E925" s="1"/>
      <c r="F925" s="1"/>
      <c r="G925" s="1"/>
    </row>
    <row r="926" customFormat="false" ht="15.75" hidden="false" customHeight="true" outlineLevel="0" collapsed="false">
      <c r="C926" s="1"/>
      <c r="D926" s="1"/>
      <c r="E926" s="1"/>
      <c r="F926" s="1"/>
      <c r="G926" s="1"/>
    </row>
    <row r="927" customFormat="false" ht="15.75" hidden="false" customHeight="true" outlineLevel="0" collapsed="false">
      <c r="C927" s="1"/>
      <c r="D927" s="1"/>
      <c r="E927" s="1"/>
      <c r="F927" s="1"/>
      <c r="G927" s="1"/>
    </row>
    <row r="928" customFormat="false" ht="15.75" hidden="false" customHeight="true" outlineLevel="0" collapsed="false">
      <c r="C928" s="1"/>
      <c r="D928" s="1"/>
      <c r="E928" s="1"/>
      <c r="F928" s="1"/>
      <c r="G928" s="1"/>
    </row>
    <row r="929" customFormat="false" ht="15.75" hidden="false" customHeight="true" outlineLevel="0" collapsed="false">
      <c r="C929" s="1"/>
      <c r="D929" s="1"/>
      <c r="E929" s="1"/>
      <c r="F929" s="1"/>
      <c r="G929" s="1"/>
    </row>
    <row r="930" customFormat="false" ht="15.75" hidden="false" customHeight="true" outlineLevel="0" collapsed="false">
      <c r="C930" s="1"/>
      <c r="D930" s="1"/>
      <c r="E930" s="1"/>
      <c r="F930" s="1"/>
      <c r="G930" s="1"/>
    </row>
    <row r="931" customFormat="false" ht="15.75" hidden="false" customHeight="true" outlineLevel="0" collapsed="false">
      <c r="C931" s="1"/>
      <c r="D931" s="1"/>
      <c r="E931" s="1"/>
      <c r="F931" s="1"/>
      <c r="G931" s="1"/>
    </row>
    <row r="932" customFormat="false" ht="15.75" hidden="false" customHeight="true" outlineLevel="0" collapsed="false">
      <c r="C932" s="1"/>
      <c r="D932" s="1"/>
      <c r="E932" s="1"/>
      <c r="F932" s="1"/>
      <c r="G932" s="1"/>
    </row>
    <row r="933" customFormat="false" ht="15.75" hidden="false" customHeight="true" outlineLevel="0" collapsed="false">
      <c r="C933" s="1"/>
      <c r="D933" s="1"/>
      <c r="E933" s="1"/>
      <c r="F933" s="1"/>
      <c r="G933" s="1"/>
    </row>
    <row r="934" customFormat="false" ht="15.75" hidden="false" customHeight="true" outlineLevel="0" collapsed="false">
      <c r="C934" s="1"/>
      <c r="D934" s="1"/>
      <c r="E934" s="1"/>
      <c r="F934" s="1"/>
      <c r="G934" s="1"/>
    </row>
    <row r="935" customFormat="false" ht="15.75" hidden="false" customHeight="true" outlineLevel="0" collapsed="false">
      <c r="C935" s="1"/>
      <c r="D935" s="1"/>
      <c r="E935" s="1"/>
      <c r="F935" s="1"/>
      <c r="G935" s="1"/>
    </row>
    <row r="936" customFormat="false" ht="15.75" hidden="false" customHeight="true" outlineLevel="0" collapsed="false">
      <c r="C936" s="1"/>
      <c r="D936" s="1"/>
      <c r="E936" s="1"/>
      <c r="F936" s="1"/>
      <c r="G936" s="1"/>
    </row>
    <row r="937" customFormat="false" ht="15.75" hidden="false" customHeight="true" outlineLevel="0" collapsed="false">
      <c r="C937" s="1"/>
      <c r="D937" s="1"/>
      <c r="E937" s="1"/>
      <c r="F937" s="1"/>
      <c r="G937" s="1"/>
    </row>
    <row r="938" customFormat="false" ht="15.75" hidden="false" customHeight="true" outlineLevel="0" collapsed="false">
      <c r="C938" s="1"/>
      <c r="D938" s="1"/>
      <c r="E938" s="1"/>
      <c r="F938" s="1"/>
      <c r="G938" s="1"/>
    </row>
    <row r="939" customFormat="false" ht="15.75" hidden="false" customHeight="true" outlineLevel="0" collapsed="false">
      <c r="C939" s="1"/>
      <c r="D939" s="1"/>
      <c r="E939" s="1"/>
      <c r="F939" s="1"/>
      <c r="G939" s="1"/>
    </row>
    <row r="940" customFormat="false" ht="15.75" hidden="false" customHeight="true" outlineLevel="0" collapsed="false">
      <c r="C940" s="1"/>
      <c r="D940" s="1"/>
      <c r="E940" s="1"/>
      <c r="F940" s="1"/>
      <c r="G940" s="1"/>
    </row>
    <row r="941" customFormat="false" ht="15.75" hidden="false" customHeight="true" outlineLevel="0" collapsed="false">
      <c r="C941" s="1"/>
      <c r="D941" s="1"/>
      <c r="E941" s="1"/>
      <c r="F941" s="1"/>
      <c r="G941" s="1"/>
    </row>
    <row r="942" customFormat="false" ht="15.75" hidden="false" customHeight="true" outlineLevel="0" collapsed="false">
      <c r="C942" s="1"/>
      <c r="D942" s="1"/>
      <c r="E942" s="1"/>
      <c r="F942" s="1"/>
      <c r="G942" s="1"/>
    </row>
    <row r="943" customFormat="false" ht="15.75" hidden="false" customHeight="true" outlineLevel="0" collapsed="false">
      <c r="C943" s="1"/>
      <c r="D943" s="1"/>
      <c r="E943" s="1"/>
      <c r="F943" s="1"/>
      <c r="G943" s="1"/>
    </row>
    <row r="944" customFormat="false" ht="15.75" hidden="false" customHeight="true" outlineLevel="0" collapsed="false">
      <c r="C944" s="1"/>
      <c r="D944" s="1"/>
      <c r="E944" s="1"/>
      <c r="F944" s="1"/>
      <c r="G944" s="1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B2:C2"/>
    <mergeCell ref="B7:B10"/>
    <mergeCell ref="B18:B2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2024-04-22T13:47:12Z</dcterms:created>
  <dc:creator>Welington Zabini</dc:creator>
  <dc:description/>
  <dc:language>pt-BR</dc:language>
  <cp:lastModifiedBy/>
  <dcterms:modified xsi:type="dcterms:W3CDTF">2026-07-23T16:52:37Z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0x0101007FC5F4BB677E8746A852FE7D8409765D</vt:lpwstr>
  </property>
  <property fmtid="{D5CDD505-2E9C-101B-9397-08002B2CF9AE}" pid="3" name="MediaServiceImageTags">
    <vt:lpwstr/>
  </property>
</Properties>
</file>